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94" documentId="13_ncr:1_{3921D751-0C97-4068-A9FE-A5F6B4B236B2}" xr6:coauthVersionLast="47" xr6:coauthVersionMax="47" xr10:uidLastSave="{F5D7F353-1819-4572-AD8A-B056623B6582}"/>
  <bookViews>
    <workbookView xWindow="28680" yWindow="-120" windowWidth="20730" windowHeight="11040" xr2:uid="{00000000-000D-0000-FFFF-FFFF00000000}"/>
  </bookViews>
  <sheets>
    <sheet name="DS_PTX Summary Test Results" sheetId="2" r:id="rId1"/>
    <sheet name="DS_PTX_Reconcile" sheetId="3" r:id="rId2"/>
    <sheet name="DS_PTX" sheetId="5" r:id="rId3"/>
    <sheet name="Test Data" sheetId="4" r:id="rId4"/>
  </sheets>
  <definedNames>
    <definedName name="_xlnm._FilterDatabase" localSheetId="2">DS_PTX!$A$1:$AG$1</definedName>
    <definedName name="_xlnm._FilterDatabase">'Test Data'!$A$3:$CU$5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2" l="1"/>
  <c r="K5" i="2"/>
  <c r="J5" i="2"/>
</calcChain>
</file>

<file path=xl/sharedStrings.xml><?xml version="1.0" encoding="utf-8"?>
<sst xmlns="http://schemas.openxmlformats.org/spreadsheetml/2006/main" count="228" uniqueCount="171">
  <si>
    <t>DS_PTX AUTOMATION VERIFICATION SUMMARY</t>
  </si>
  <si>
    <t>Report File Name:</t>
  </si>
  <si>
    <t>TOTAL CHECKED</t>
  </si>
  <si>
    <t>PASSED/MATCH</t>
  </si>
  <si>
    <t>FAILED/UNMATCH</t>
  </si>
  <si>
    <t>Execution Date:</t>
  </si>
  <si>
    <t>2026-07-21</t>
  </si>
  <si>
    <t>Run ID:</t>
  </si>
  <si>
    <t>RUN_20260721_092700</t>
  </si>
  <si>
    <t>Verified By:</t>
  </si>
  <si>
    <t>QAD Automation</t>
  </si>
  <si>
    <t>SUMMARY DETAILS</t>
  </si>
  <si>
    <t>DS_PTX</t>
  </si>
  <si>
    <t>Test Script Data</t>
  </si>
  <si>
    <t>Test Result</t>
  </si>
  <si>
    <t>Reason</t>
  </si>
  <si>
    <t>Reference Transaction Number</t>
  </si>
  <si>
    <t>Data Set Date</t>
  </si>
  <si>
    <t>Receive Payment Transaction Type</t>
  </si>
  <si>
    <t>Receive Payment Item Type</t>
  </si>
  <si>
    <t>Receive Payment Item Description</t>
  </si>
  <si>
    <t>Payment Method</t>
  </si>
  <si>
    <t>Currency Id</t>
  </si>
  <si>
    <t>Transaction Amount in Foreign Currency</t>
  </si>
  <si>
    <t>Test Script No.</t>
  </si>
  <si>
    <t>Test Case / Scenario</t>
  </si>
  <si>
    <t>Txn Date</t>
  </si>
  <si>
    <t>From CIF No. (Client/Sender)</t>
  </si>
  <si>
    <t>From Account ( A/C Client/Sender)</t>
  </si>
  <si>
    <t>From Currency (CCY)</t>
  </si>
  <si>
    <t xml:space="preserve">From Debit Amount </t>
  </si>
  <si>
    <t>From Transfer Amount</t>
  </si>
  <si>
    <t>Fee Type 1</t>
  </si>
  <si>
    <t>Fee Charge Account No. Type 1</t>
  </si>
  <si>
    <t>Fee Amount Type 1</t>
  </si>
  <si>
    <t>Fee Currency 1</t>
  </si>
  <si>
    <t>Fee Type 2</t>
  </si>
  <si>
    <t>Fee Charge Account No. Type 2</t>
  </si>
  <si>
    <t>Fee Amount  2</t>
  </si>
  <si>
    <t>Fee Currency 2</t>
  </si>
  <si>
    <t>Result</t>
  </si>
  <si>
    <t>Remark</t>
  </si>
  <si>
    <t>Dept Code</t>
  </si>
  <si>
    <t>System Id</t>
  </si>
  <si>
    <t>Cust Code</t>
  </si>
  <si>
    <t>CMF CODE</t>
  </si>
  <si>
    <t>Cust Name</t>
  </si>
  <si>
    <t>Data Provider Branch Number</t>
  </si>
  <si>
    <t>Data Provider IBF Indicator</t>
  </si>
  <si>
    <t>Receive Payment Transaction Date</t>
  </si>
  <si>
    <t>Involved Party Id</t>
  </si>
  <si>
    <t>Involved Party Name</t>
  </si>
  <si>
    <t>Country Id of Involved Party</t>
  </si>
  <si>
    <t>Debt Instrument Type</t>
  </si>
  <si>
    <t>ISIN Code</t>
  </si>
  <si>
    <t>Debt Instrument Name</t>
  </si>
  <si>
    <t>Issuer or Invested Organization Name</t>
  </si>
  <si>
    <t>Country Id of Issuer or Invested Organization</t>
  </si>
  <si>
    <t>Issue Date</t>
  </si>
  <si>
    <t>Maturity Date</t>
  </si>
  <si>
    <t>Original Term</t>
  </si>
  <si>
    <t>Original Term Unit</t>
  </si>
  <si>
    <t>Coupon Rate</t>
  </si>
  <si>
    <t>Intention Country Id</t>
  </si>
  <si>
    <t>Unit of Transaction</t>
  </si>
  <si>
    <t>Sell Foreign Currency Security Transaction Amount in Baht Equivalent</t>
  </si>
  <si>
    <t>Defaulted Bill Purchase Date</t>
  </si>
  <si>
    <t>Template Test Case</t>
  </si>
  <si>
    <t>#</t>
  </si>
  <si>
    <t>From Account</t>
  </si>
  <si>
    <t>Settlement (if any CCY)</t>
  </si>
  <si>
    <t>To Account</t>
  </si>
  <si>
    <t>Status</t>
  </si>
  <si>
    <t>BOT AF1 Report</t>
  </si>
  <si>
    <t>Test No.</t>
  </si>
  <si>
    <t>Time</t>
  </si>
  <si>
    <t>Transaction ID/ Reconcile ID</t>
  </si>
  <si>
    <t>Referrence no.</t>
  </si>
  <si>
    <t>Payment Referrence ID</t>
  </si>
  <si>
    <t>Paid Date</t>
  </si>
  <si>
    <t>From Channel</t>
  </si>
  <si>
    <t>To Channel</t>
  </si>
  <si>
    <t>Transaction type</t>
  </si>
  <si>
    <t xml:space="preserve">Payment Rail </t>
  </si>
  <si>
    <t>From CIF Name (Client/Sender)</t>
  </si>
  <si>
    <t>From Bank Code / Branch (Client/Sender)</t>
  </si>
  <si>
    <t>From Bank name (Client/Sender)</t>
  </si>
  <si>
    <t>From Account Type</t>
  </si>
  <si>
    <t xml:space="preserve">From Mobile no.  </t>
  </si>
  <si>
    <t>From Customer (Resident/Non Resident)</t>
  </si>
  <si>
    <t>From Customer Type Code</t>
  </si>
  <si>
    <t>From Customer Type Description</t>
  </si>
  <si>
    <t>From Region (Sender Country)</t>
  </si>
  <si>
    <t>From BOT Purpose code</t>
  </si>
  <si>
    <t>From BOT Purpose name</t>
  </si>
  <si>
    <t>From FX Rate (Customer Rate)</t>
  </si>
  <si>
    <t>From eWHT Amount</t>
  </si>
  <si>
    <t>From THB Equivalent Transfer Amount</t>
  </si>
  <si>
    <t>From Sender Status</t>
  </si>
  <si>
    <t>Settled Amount (CCY)</t>
  </si>
  <si>
    <t>Settled Currency (CCY)</t>
  </si>
  <si>
    <t>Settled Ex Rate</t>
  </si>
  <si>
    <t>To CIF No. (Beneficiary)</t>
  </si>
  <si>
    <t>To CIF Name (Beneficiary)</t>
  </si>
  <si>
    <t>To Bank Code / Branch (Client/Sender)</t>
  </si>
  <si>
    <t>To Bank name (Beneficiary)</t>
  </si>
  <si>
    <t>To Account (A/C Beneficiary)</t>
  </si>
  <si>
    <t>To Account Type (Beneficiary)</t>
  </si>
  <si>
    <t>To tdTenor</t>
  </si>
  <si>
    <t>To tdTenorUnit</t>
  </si>
  <si>
    <t>To Customer (Resident/Non Resident)</t>
  </si>
  <si>
    <t>To Customer Type</t>
  </si>
  <si>
    <t>To Customer Type Description</t>
  </si>
  <si>
    <t>To Region (Bene Country)</t>
  </si>
  <si>
    <t>To Currency (CCY)</t>
  </si>
  <si>
    <t>To FX Rate (Customer Rate)</t>
  </si>
  <si>
    <t>To Credit Amount (To Amount)</t>
  </si>
  <si>
    <t>To THB Equivalent Transfer Amount</t>
  </si>
  <si>
    <t>To Receriver Status</t>
  </si>
  <si>
    <t>Fee Charge Type 1</t>
  </si>
  <si>
    <t>Fee Charge Account Type 1</t>
  </si>
  <si>
    <t>Bank Code Type 1</t>
  </si>
  <si>
    <t>Branch Code Type 1</t>
  </si>
  <si>
    <t>Fee Timing Type 1</t>
  </si>
  <si>
    <t>Fee Currency Type 1</t>
  </si>
  <si>
    <t>Fee Charge Type 2</t>
  </si>
  <si>
    <t>Fee Charge Account Type 2</t>
  </si>
  <si>
    <t>Bank Code Type 2</t>
  </si>
  <si>
    <t>Branch Code Type 2</t>
  </si>
  <si>
    <t>Fee Timing Type 2</t>
  </si>
  <si>
    <t>Fee Amount 2</t>
  </si>
  <si>
    <t>Fee Type 3</t>
  </si>
  <si>
    <t>Fee Charge Type 3</t>
  </si>
  <si>
    <t>Fee Charge Account No. Type 3</t>
  </si>
  <si>
    <t>Fee Charge Account Type 3</t>
  </si>
  <si>
    <t>Bank Code Type 3</t>
  </si>
  <si>
    <t>Branch Code Type 3</t>
  </si>
  <si>
    <t>Fee Timing Type 3</t>
  </si>
  <si>
    <t>Fee Amount 3</t>
  </si>
  <si>
    <t>Fee Currency 3</t>
  </si>
  <si>
    <t>Fee Type 4</t>
  </si>
  <si>
    <t>Fee Charge Type 4</t>
  </si>
  <si>
    <t>Fee Charge Account No. Type 4</t>
  </si>
  <si>
    <t>Fee Charge Account Type 4</t>
  </si>
  <si>
    <t>Bank Code Type 4</t>
  </si>
  <si>
    <t>Branch Code Type 4</t>
  </si>
  <si>
    <t>Fee Amount  Type 4</t>
  </si>
  <si>
    <t>Fee Currency  Type 4</t>
  </si>
  <si>
    <t>Fee Type 5</t>
  </si>
  <si>
    <t>Fee Charge Type 5</t>
  </si>
  <si>
    <t>Fee Charge Account No. Type 5</t>
  </si>
  <si>
    <t>Fee Charge Account Type 5</t>
  </si>
  <si>
    <t>Bank Code Type 5</t>
  </si>
  <si>
    <t>Branch Code Type 5</t>
  </si>
  <si>
    <t>Fee Amount  Type 5</t>
  </si>
  <si>
    <t>Fee Currency  Type 5</t>
  </si>
  <si>
    <t>Transaction Status</t>
  </si>
  <si>
    <t>Status for Downstream</t>
  </si>
  <si>
    <t>FTX</t>
  </si>
  <si>
    <t>FTU</t>
  </si>
  <si>
    <t>FXU</t>
  </si>
  <si>
    <t>OLB</t>
  </si>
  <si>
    <t>LTX</t>
  </si>
  <si>
    <t>PTX</t>
  </si>
  <si>
    <t>DS_PTX Summary Test Results_20260721_092700.xlsx</t>
  </si>
  <si>
    <t xml:space="preserve">Actual Execution Time Start : </t>
  </si>
  <si>
    <t>Actual Execution Time End:</t>
  </si>
  <si>
    <t>Duration Time:</t>
  </si>
  <si>
    <t>ACTUAL 
(Execution %)</t>
  </si>
  <si>
    <t>PASSED
(Pass Rate %)</t>
  </si>
  <si>
    <t>FAILED 
(Fail Rate%)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</si>
</sst>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22"/>
      <scheme val="minor"/>
    </font>
    <font>
      <b/>
      <sz val="18"/>
      <color rgb="FFFFC000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b/>
      <sz val="22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charset val="222"/>
      <scheme val="minor"/>
    </font>
    <font>
      <b/>
      <sz val="11"/>
      <color rgb="FF000000"/>
      <name val="Calibri"/>
      <family val="2"/>
      <charset val="222"/>
    </font>
    <font>
      <b/>
      <sz val="11"/>
      <color indexed="8"/>
      <name val="Calibri"/>
      <family val="2"/>
      <charset val="222"/>
      <scheme val="minor"/>
    </font>
    <font>
      <b/>
      <sz val="11"/>
      <name val="Calibri"/>
      <family val="2"/>
      <charset val="222"/>
    </font>
    <font>
      <b/>
      <sz val="10"/>
      <name val="Aptos"/>
      <family val="2"/>
      <charset val="222"/>
    </font>
    <font>
      <b/>
      <sz val="10"/>
      <name val="Aptos"/>
      <family val="2"/>
    </font>
    <font>
      <b/>
      <sz val="11"/>
      <color rgb="FFFFFFFF"/>
      <name val="Calibri"/>
      <family val="2"/>
    </font>
    <font>
      <b/>
      <sz val="16"/>
      <color rgb="FF05192D"/>
      <name val="Aptos"/>
      <family val="2"/>
    </font>
    <font>
      <b/>
      <sz val="9"/>
      <color rgb="FF03EF62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Aptos"/>
      <family val="2"/>
    </font>
    <font>
      <b/>
      <sz val="11"/>
      <color rgb="FF03EF62"/>
      <name val="Aptos"/>
      <family val="2"/>
    </font>
    <font>
      <b/>
      <sz val="11"/>
      <color theme="0"/>
      <name val="Aptos"/>
      <family val="2"/>
    </font>
    <font>
      <sz val="11"/>
      <color rgb="FF03EF62"/>
      <name val="Aptos"/>
      <family val="2"/>
    </font>
    <font>
      <sz val="10"/>
      <color rgb="FF03EF62"/>
      <name val="Aptos"/>
      <family val="2"/>
    </font>
    <font>
      <sz val="10"/>
      <color rgb="FF05192D"/>
      <name val="Aptos"/>
      <family val="2"/>
    </font>
    <font>
      <sz val="10"/>
      <color theme="1"/>
      <name val="Aptos"/>
      <family val="2"/>
    </font>
    <font>
      <sz val="10"/>
      <color theme="0"/>
      <name val="Aptos"/>
      <family val="2"/>
    </font>
    <font>
      <b/>
      <sz val="10"/>
      <color rgb="FF0088BA"/>
      <name val="Aptos"/>
      <family val="2"/>
    </font>
    <font>
      <sz val="11"/>
      <color rgb="FF000000"/>
      <name val="Aptos Narrow"/>
      <family val="2"/>
    </font>
    <font>
      <sz val="11"/>
      <color rgb="FFFFFFFF"/>
      <name val="Aptos Narrow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2F2F2F"/>
      </patternFill>
    </fill>
    <fill>
      <patternFill patternType="solid">
        <fgColor rgb="FF22B14C"/>
      </patternFill>
    </fill>
    <fill>
      <patternFill patternType="solid">
        <fgColor rgb="FFE5393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D9E1F2"/>
      </patternFill>
    </fill>
    <fill>
      <patternFill patternType="solid">
        <fgColor rgb="FF8DB4E2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6" tint="0.59999389629810485"/>
        <bgColor indexed="65"/>
      </patternFill>
    </fill>
    <fill>
      <patternFill patternType="solid">
        <fgColor rgb="FF4472C4"/>
      </patternFill>
    </fill>
    <fill>
      <patternFill patternType="solid">
        <fgColor rgb="FF05192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88BA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3EF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FF"/>
      </patternFill>
    </fill>
    <fill>
      <patternFill patternType="solid">
        <fgColor rgb="FF92D050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E53935"/>
        <bgColor indexed="64"/>
      </patternFill>
    </fill>
    <fill>
      <patternFill patternType="solid">
        <fgColor rgb="FFF2F2F2"/>
        <bgColor indexed="64"/>
      </patternFill>
    </fill>
  </fills>
  <borders count="14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8" fillId="0" borderId="0" applyFont="0" applyFill="0" applyBorder="0" applyAlignment="0" applyProtection="0"/>
  </cellStyleXfs>
  <cellXfs count="76">
    <xf numFmtId="0" fontId="0" fillId="0" borderId="0" xfId="0"/>
    <xf numFmtId="0" fontId="13" fillId="11" borderId="1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15" fillId="12" borderId="0" xfId="0" applyFont="1" applyFill="1" applyAlignment="1">
      <alignment horizontal="center" vertical="top"/>
    </xf>
    <xf numFmtId="0" fontId="16" fillId="0" borderId="0" xfId="0" applyFont="1" applyAlignment="1">
      <alignment horizontal="center" vertical="top"/>
    </xf>
    <xf numFmtId="0" fontId="16" fillId="13" borderId="0" xfId="0" applyFont="1" applyFill="1" applyAlignment="1">
      <alignment horizontal="center" vertical="top"/>
    </xf>
    <xf numFmtId="0" fontId="1" fillId="0" borderId="0" xfId="0" applyFont="1" applyAlignment="1">
      <alignment horizontal="center"/>
    </xf>
    <xf numFmtId="0" fontId="17" fillId="0" borderId="0" xfId="0" applyFont="1"/>
    <xf numFmtId="0" fontId="19" fillId="14" borderId="4" xfId="0" applyFont="1" applyFill="1" applyBorder="1"/>
    <xf numFmtId="0" fontId="18" fillId="12" borderId="5" xfId="0" applyFont="1" applyFill="1" applyBorder="1"/>
    <xf numFmtId="0" fontId="18" fillId="12" borderId="4" xfId="0" applyFont="1" applyFill="1" applyBorder="1"/>
    <xf numFmtId="0" fontId="18" fillId="12" borderId="6" xfId="0" applyFont="1" applyFill="1" applyBorder="1"/>
    <xf numFmtId="0" fontId="20" fillId="12" borderId="5" xfId="0" applyFont="1" applyFill="1" applyBorder="1" applyAlignment="1">
      <alignment horizontal="center"/>
    </xf>
    <xf numFmtId="0" fontId="20" fillId="12" borderId="4" xfId="0" applyFont="1" applyFill="1" applyBorder="1" applyAlignment="1">
      <alignment horizontal="center"/>
    </xf>
    <xf numFmtId="0" fontId="21" fillId="15" borderId="7" xfId="0" applyFont="1" applyFill="1" applyBorder="1" applyAlignment="1">
      <alignment horizontal="center" vertical="center"/>
    </xf>
    <xf numFmtId="0" fontId="21" fillId="12" borderId="8" xfId="0" applyFont="1" applyFill="1" applyBorder="1" applyAlignment="1">
      <alignment horizontal="center" vertical="center"/>
    </xf>
    <xf numFmtId="0" fontId="21" fillId="12" borderId="9" xfId="0" applyFont="1" applyFill="1" applyBorder="1" applyAlignment="1">
      <alignment horizontal="center" vertical="center"/>
    </xf>
    <xf numFmtId="0" fontId="22" fillId="16" borderId="10" xfId="0" applyFont="1" applyFill="1" applyBorder="1" applyAlignment="1">
      <alignment vertical="center"/>
    </xf>
    <xf numFmtId="0" fontId="22" fillId="16" borderId="8" xfId="0" applyFont="1" applyFill="1" applyBorder="1" applyAlignment="1">
      <alignment vertical="center"/>
    </xf>
    <xf numFmtId="0" fontId="22" fillId="16" borderId="8" xfId="0" applyFont="1" applyFill="1" applyBorder="1" applyAlignment="1">
      <alignment horizontal="left" vertical="center"/>
    </xf>
    <xf numFmtId="0" fontId="22" fillId="16" borderId="11" xfId="0" applyFont="1" applyFill="1" applyBorder="1" applyAlignment="1">
      <alignment horizontal="left" vertical="center"/>
    </xf>
    <xf numFmtId="0" fontId="23" fillId="17" borderId="12" xfId="0" applyFont="1" applyFill="1" applyBorder="1" applyAlignment="1">
      <alignment horizontal="center" vertical="center"/>
    </xf>
    <xf numFmtId="0" fontId="23" fillId="17" borderId="8" xfId="0" applyFont="1" applyFill="1" applyBorder="1" applyAlignment="1">
      <alignment horizontal="center" vertical="center"/>
    </xf>
    <xf numFmtId="0" fontId="23" fillId="17" borderId="9" xfId="0" applyFont="1" applyFill="1" applyBorder="1" applyAlignment="1">
      <alignment horizontal="center" vertical="center"/>
    </xf>
    <xf numFmtId="0" fontId="22" fillId="13" borderId="8" xfId="0" applyFont="1" applyFill="1" applyBorder="1" applyAlignment="1">
      <alignment vertical="center"/>
    </xf>
    <xf numFmtId="0" fontId="24" fillId="18" borderId="8" xfId="0" applyFont="1" applyFill="1" applyBorder="1" applyAlignment="1">
      <alignment horizontal="center" vertical="center"/>
    </xf>
    <xf numFmtId="0" fontId="24" fillId="18" borderId="8" xfId="0" applyFont="1" applyFill="1" applyBorder="1" applyAlignment="1">
      <alignment horizontal="left" vertical="center"/>
    </xf>
    <xf numFmtId="49" fontId="24" fillId="18" borderId="8" xfId="0" applyNumberFormat="1" applyFont="1" applyFill="1" applyBorder="1" applyAlignment="1">
      <alignment horizontal="center" vertical="center"/>
    </xf>
    <xf numFmtId="0" fontId="24" fillId="19" borderId="8" xfId="0" applyFont="1" applyFill="1" applyBorder="1" applyAlignment="1">
      <alignment horizontal="center" vertical="center"/>
    </xf>
    <xf numFmtId="0" fontId="24" fillId="20" borderId="8" xfId="0" applyFont="1" applyFill="1" applyBorder="1" applyAlignment="1">
      <alignment horizontal="center" vertical="center"/>
    </xf>
    <xf numFmtId="0" fontId="23" fillId="10" borderId="12" xfId="0" applyFont="1" applyFill="1" applyBorder="1" applyAlignment="1">
      <alignment horizontal="center" vertical="center"/>
    </xf>
    <xf numFmtId="0" fontId="23" fillId="10" borderId="8" xfId="0" applyFont="1" applyFill="1" applyBorder="1" applyAlignment="1">
      <alignment horizontal="center" vertical="center"/>
    </xf>
    <xf numFmtId="0" fontId="23" fillId="0" borderId="0" xfId="0" applyFont="1" applyAlignment="1">
      <alignment vertical="center"/>
    </xf>
    <xf numFmtId="0" fontId="25" fillId="0" borderId="8" xfId="0" applyFont="1" applyBorder="1" applyAlignment="1">
      <alignment horizontal="center" vertical="center"/>
    </xf>
    <xf numFmtId="0" fontId="26" fillId="21" borderId="0" xfId="0" applyFont="1" applyFill="1"/>
    <xf numFmtId="0" fontId="27" fillId="22" borderId="0" xfId="0" applyFont="1" applyFill="1"/>
    <xf numFmtId="0" fontId="29" fillId="23" borderId="13" xfId="0" applyFont="1" applyFill="1" applyBorder="1" applyAlignment="1">
      <alignment horizontal="center" vertical="center" wrapText="1"/>
    </xf>
    <xf numFmtId="0" fontId="29" fillId="15" borderId="13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0" fontId="29" fillId="24" borderId="13" xfId="0" applyFont="1" applyFill="1" applyBorder="1" applyAlignment="1">
      <alignment horizontal="center" vertical="center" wrapText="1"/>
    </xf>
    <xf numFmtId="0" fontId="18" fillId="12" borderId="2" xfId="0" applyFont="1" applyFill="1" applyBorder="1" applyAlignment="1">
      <alignment horizontal="center"/>
    </xf>
    <xf numFmtId="0" fontId="18" fillId="12" borderId="0" xfId="0" applyFont="1" applyFill="1" applyAlignment="1">
      <alignment horizontal="center"/>
    </xf>
    <xf numFmtId="0" fontId="18" fillId="12" borderId="3" xfId="0" applyFont="1" applyFill="1" applyBorder="1" applyAlignment="1">
      <alignment horizontal="center"/>
    </xf>
    <xf numFmtId="0" fontId="18" fillId="12" borderId="4" xfId="0" applyFont="1" applyFill="1" applyBorder="1" applyAlignment="1">
      <alignment horizontal="center"/>
    </xf>
    <xf numFmtId="0" fontId="0" fillId="0" borderId="0" xfId="0" applyBorder="1"/>
    <xf numFmtId="0" fontId="2" fillId="2" borderId="0" xfId="0" applyFont="1" applyFill="1" applyBorder="1" applyAlignment="1">
      <alignment horizontal="left" vertical="top" wrapText="1"/>
    </xf>
    <xf numFmtId="0" fontId="0" fillId="0" borderId="0" xfId="0" applyBorder="1" applyAlignment="1">
      <alignment horizontal="left" vertical="top"/>
    </xf>
    <xf numFmtId="0" fontId="3" fillId="0" borderId="0" xfId="0" applyFont="1" applyBorder="1"/>
    <xf numFmtId="21" fontId="30" fillId="0" borderId="0" xfId="0" applyNumberFormat="1" applyFont="1" applyBorder="1" applyAlignment="1">
      <alignment horizontal="left"/>
    </xf>
    <xf numFmtId="0" fontId="7" fillId="0" borderId="0" xfId="0" applyFont="1" applyBorder="1"/>
    <xf numFmtId="0" fontId="4" fillId="2" borderId="13" xfId="0" applyFont="1" applyFill="1" applyBorder="1" applyAlignment="1">
      <alignment horizontal="center"/>
    </xf>
    <xf numFmtId="0" fontId="4" fillId="5" borderId="13" xfId="0" applyFont="1" applyFill="1" applyBorder="1" applyAlignment="1">
      <alignment horizontal="center"/>
    </xf>
    <xf numFmtId="0" fontId="0" fillId="5" borderId="13" xfId="0" applyFill="1" applyBorder="1"/>
    <xf numFmtId="0" fontId="6" fillId="5" borderId="13" xfId="0" applyFont="1" applyFill="1" applyBorder="1" applyAlignment="1">
      <alignment horizontal="center"/>
    </xf>
    <xf numFmtId="0" fontId="6" fillId="6" borderId="13" xfId="0" applyFont="1" applyFill="1" applyBorder="1"/>
    <xf numFmtId="0" fontId="8" fillId="7" borderId="13" xfId="0" applyFont="1" applyFill="1" applyBorder="1" applyAlignment="1">
      <alignment horizontal="center" vertical="center" wrapText="1"/>
    </xf>
    <xf numFmtId="0" fontId="9" fillId="5" borderId="13" xfId="0" applyFont="1" applyFill="1" applyBorder="1" applyAlignment="1">
      <alignment vertical="top" wrapText="1"/>
    </xf>
    <xf numFmtId="0" fontId="7" fillId="6" borderId="13" xfId="0" applyFont="1" applyFill="1" applyBorder="1"/>
    <xf numFmtId="0" fontId="10" fillId="5" borderId="13" xfId="0" applyFont="1" applyFill="1" applyBorder="1" applyAlignment="1">
      <alignment horizontal="center" vertical="center"/>
    </xf>
    <xf numFmtId="0" fontId="11" fillId="5" borderId="13" xfId="0" applyFont="1" applyFill="1" applyBorder="1" applyAlignment="1">
      <alignment horizontal="center" vertical="center"/>
    </xf>
    <xf numFmtId="0" fontId="11" fillId="5" borderId="13" xfId="0" applyFont="1" applyFill="1" applyBorder="1" applyAlignment="1">
      <alignment vertical="center"/>
    </xf>
    <xf numFmtId="0" fontId="11" fillId="5" borderId="13" xfId="0" applyFont="1" applyFill="1" applyBorder="1" applyAlignment="1">
      <alignment horizontal="left" vertical="center"/>
    </xf>
    <xf numFmtId="0" fontId="11" fillId="8" borderId="13" xfId="0" applyFont="1" applyFill="1" applyBorder="1" applyAlignment="1">
      <alignment vertical="center"/>
    </xf>
    <xf numFmtId="0" fontId="11" fillId="9" borderId="13" xfId="0" applyFont="1" applyFill="1" applyBorder="1" applyAlignment="1">
      <alignment horizontal="center" vertical="center"/>
    </xf>
    <xf numFmtId="0" fontId="11" fillId="9" borderId="13" xfId="0" applyFont="1" applyFill="1" applyBorder="1" applyAlignment="1">
      <alignment horizontal="left" vertical="center"/>
    </xf>
    <xf numFmtId="0" fontId="11" fillId="8" borderId="13" xfId="0" applyFont="1" applyFill="1" applyBorder="1" applyAlignment="1">
      <alignment horizontal="left" vertical="center"/>
    </xf>
    <xf numFmtId="0" fontId="12" fillId="9" borderId="13" xfId="0" applyFont="1" applyFill="1" applyBorder="1" applyAlignment="1">
      <alignment horizontal="center" vertical="center"/>
    </xf>
    <xf numFmtId="0" fontId="12" fillId="9" borderId="13" xfId="0" applyFont="1" applyFill="1" applyBorder="1" applyAlignment="1">
      <alignment horizontal="left" vertical="center"/>
    </xf>
    <xf numFmtId="0" fontId="12" fillId="8" borderId="13" xfId="0" applyFont="1" applyFill="1" applyBorder="1" applyAlignment="1">
      <alignment horizontal="left" vertical="center"/>
    </xf>
    <xf numFmtId="0" fontId="5" fillId="25" borderId="13" xfId="0" applyFont="1" applyFill="1" applyBorder="1" applyAlignment="1">
      <alignment horizontal="center" vertical="center"/>
    </xf>
    <xf numFmtId="9" fontId="0" fillId="25" borderId="13" xfId="1" applyFont="1" applyFill="1" applyBorder="1" applyAlignment="1">
      <alignment horizontal="center"/>
    </xf>
    <xf numFmtId="9" fontId="0" fillId="25" borderId="13" xfId="1" applyFont="1" applyFill="1" applyBorder="1" applyAlignment="1">
      <alignment horizontal="center" vertical="center"/>
    </xf>
    <xf numFmtId="9" fontId="0" fillId="25" borderId="13" xfId="1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2F2F2"/>
      <color rgb="FFE53935"/>
      <color rgb="FFE63700"/>
      <color rgb="FFFF0000"/>
      <color rgb="FFFF5050"/>
      <color rgb="FFCC3300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2060"/>
    <pageSetUpPr fitToPage="1"/>
  </sheetPr>
  <dimension ref="B1:AC27"/>
  <sheetViews>
    <sheetView showGridLines="0" tabSelected="1" zoomScale="85" zoomScaleNormal="85" workbookViewId="0">
      <pane ySplit="14" topLeftCell="A15" activePane="bottomLeft" state="frozen"/>
      <selection pane="bottomLeft" activeCell="K7" sqref="K7:L10"/>
    </sheetView>
  </sheetViews>
  <sheetFormatPr defaultRowHeight="14.4" customHeight="1" outlineLevelRow="1"/>
  <cols>
    <col min="1" max="1" width="4" style="47" customWidth="1"/>
    <col min="2" max="2" width="27.88671875" style="47" bestFit="1" customWidth="1"/>
    <col min="3" max="3" width="50" style="47" customWidth="1"/>
    <col min="4" max="4" width="16" style="47" customWidth="1"/>
    <col min="5" max="5" width="13.33203125" style="47" customWidth="1"/>
    <col min="6" max="6" width="20" style="47" customWidth="1"/>
    <col min="7" max="11" width="18" style="47" customWidth="1"/>
    <col min="12" max="12" width="1.6640625" style="47" customWidth="1"/>
    <col min="13" max="13" width="16" style="47" customWidth="1"/>
    <col min="14" max="14" width="18.33203125" style="47" customWidth="1"/>
    <col min="15" max="15" width="8.33203125" style="47" customWidth="1"/>
    <col min="16" max="16" width="48.88671875" style="47" customWidth="1"/>
    <col min="17" max="17" width="25.33203125" style="47" customWidth="1"/>
    <col min="18" max="18" width="30.109375" style="47" customWidth="1"/>
    <col min="19" max="19" width="18.88671875" style="47" customWidth="1"/>
    <col min="20" max="20" width="19.5546875" style="47" customWidth="1"/>
    <col min="21" max="21" width="21.5546875" style="47" customWidth="1"/>
    <col min="22" max="22" width="10.5546875" style="47" customWidth="1"/>
    <col min="23" max="23" width="29.109375" style="47" customWidth="1"/>
    <col min="24" max="24" width="25.5546875" style="47" customWidth="1"/>
    <col min="25" max="25" width="14.33203125" style="47" customWidth="1"/>
    <col min="26" max="26" width="10.5546875" style="47" customWidth="1"/>
    <col min="27" max="27" width="29.109375" style="47" customWidth="1"/>
    <col min="28" max="28" width="25.5546875" style="47" customWidth="1"/>
    <col min="29" max="29" width="14.33203125" style="47" customWidth="1"/>
    <col min="30" max="16384" width="8.88671875" style="47"/>
  </cols>
  <sheetData>
    <row r="1" spans="2:29" ht="15" customHeight="1"/>
    <row r="2" spans="2:29" ht="28.5" customHeight="1">
      <c r="B2" s="48" t="s">
        <v>0</v>
      </c>
      <c r="C2" s="49"/>
      <c r="D2" s="49"/>
      <c r="E2" s="49"/>
      <c r="F2" s="49"/>
      <c r="G2" s="49"/>
      <c r="H2" s="49"/>
      <c r="I2" s="49"/>
      <c r="J2" s="49"/>
      <c r="K2" s="49"/>
      <c r="L2" s="49"/>
    </row>
    <row r="3" spans="2:29" ht="15" customHeight="1"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</row>
    <row r="4" spans="2:29" ht="36.75" customHeight="1" outlineLevel="1" collapsed="1">
      <c r="B4" s="50" t="s">
        <v>1</v>
      </c>
      <c r="C4" s="47" t="s">
        <v>164</v>
      </c>
      <c r="I4" s="37" t="s">
        <v>168</v>
      </c>
      <c r="J4" s="38" t="s">
        <v>169</v>
      </c>
      <c r="K4" s="42" t="s">
        <v>170</v>
      </c>
      <c r="L4" s="42"/>
    </row>
    <row r="5" spans="2:29" ht="15" customHeight="1" outlineLevel="1">
      <c r="B5" s="50" t="s">
        <v>5</v>
      </c>
      <c r="C5" s="47" t="s">
        <v>6</v>
      </c>
      <c r="I5" s="73">
        <f>I7/(I7-0)</f>
        <v>1</v>
      </c>
      <c r="J5" s="74">
        <f>J7/I7</f>
        <v>0.92307692307692313</v>
      </c>
      <c r="K5" s="75">
        <f>K7/I7</f>
        <v>7.6923076923076927E-2</v>
      </c>
      <c r="L5" s="75"/>
    </row>
    <row r="6" spans="2:29" ht="15" customHeight="1" outlineLevel="1" collapsed="1">
      <c r="B6" s="50" t="s">
        <v>165</v>
      </c>
      <c r="C6" s="51">
        <v>0.37552083333333336</v>
      </c>
      <c r="I6" s="39" t="s">
        <v>2</v>
      </c>
      <c r="J6" s="40" t="s">
        <v>3</v>
      </c>
      <c r="K6" s="41" t="s">
        <v>4</v>
      </c>
      <c r="L6" s="41"/>
    </row>
    <row r="7" spans="2:29" ht="15" customHeight="1" outlineLevel="1" collapsed="1">
      <c r="B7" s="50" t="s">
        <v>166</v>
      </c>
      <c r="C7" s="51">
        <v>0.39149305555555558</v>
      </c>
      <c r="I7" s="72">
        <v>13</v>
      </c>
      <c r="J7" s="72">
        <v>12</v>
      </c>
      <c r="K7" s="72">
        <v>1</v>
      </c>
      <c r="L7" s="72"/>
    </row>
    <row r="8" spans="2:29" ht="15" customHeight="1" outlineLevel="1">
      <c r="B8" s="50" t="s">
        <v>167</v>
      </c>
      <c r="C8" s="51">
        <v>1.5972222222222221E-2</v>
      </c>
      <c r="I8" s="72"/>
      <c r="J8" s="72"/>
      <c r="K8" s="72"/>
      <c r="L8" s="72"/>
    </row>
    <row r="9" spans="2:29" ht="15" customHeight="1" outlineLevel="1">
      <c r="B9" s="50" t="s">
        <v>7</v>
      </c>
      <c r="C9" s="47" t="s">
        <v>8</v>
      </c>
      <c r="I9" s="72"/>
      <c r="J9" s="72"/>
      <c r="K9" s="72"/>
      <c r="L9" s="72"/>
    </row>
    <row r="10" spans="2:29" ht="15" customHeight="1" outlineLevel="1" collapsed="1">
      <c r="B10" s="50" t="s">
        <v>9</v>
      </c>
      <c r="C10" s="47" t="s">
        <v>10</v>
      </c>
      <c r="I10" s="72"/>
      <c r="J10" s="72"/>
      <c r="K10" s="72"/>
      <c r="L10" s="72"/>
    </row>
    <row r="11" spans="2:29" ht="15" customHeight="1" outlineLevel="1" collapsed="1"/>
    <row r="12" spans="2:29" ht="15.75" customHeight="1">
      <c r="B12" s="53" t="s">
        <v>11</v>
      </c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</row>
    <row r="13" spans="2:29" ht="21.75" customHeight="1">
      <c r="B13" s="54"/>
      <c r="C13" s="55"/>
      <c r="D13" s="56" t="s">
        <v>12</v>
      </c>
      <c r="E13" s="56"/>
      <c r="F13" s="56"/>
      <c r="G13" s="56"/>
      <c r="H13" s="56"/>
      <c r="I13" s="56"/>
      <c r="J13" s="56"/>
      <c r="K13" s="56"/>
      <c r="L13" s="57"/>
      <c r="M13" s="56" t="s">
        <v>13</v>
      </c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</row>
    <row r="14" spans="2:29" s="52" customFormat="1" ht="45" customHeight="1">
      <c r="B14" s="58" t="s">
        <v>14</v>
      </c>
      <c r="C14" s="58" t="s">
        <v>15</v>
      </c>
      <c r="D14" s="59" t="s">
        <v>16</v>
      </c>
      <c r="E14" s="59" t="s">
        <v>17</v>
      </c>
      <c r="F14" s="59" t="s">
        <v>18</v>
      </c>
      <c r="G14" s="59" t="s">
        <v>19</v>
      </c>
      <c r="H14" s="59" t="s">
        <v>20</v>
      </c>
      <c r="I14" s="59" t="s">
        <v>21</v>
      </c>
      <c r="J14" s="59" t="s">
        <v>22</v>
      </c>
      <c r="K14" s="59" t="s">
        <v>23</v>
      </c>
      <c r="L14" s="60"/>
      <c r="M14" s="61" t="s">
        <v>24</v>
      </c>
      <c r="N14" s="62" t="s">
        <v>25</v>
      </c>
      <c r="O14" s="62" t="s">
        <v>26</v>
      </c>
      <c r="P14" s="61" t="s">
        <v>16</v>
      </c>
      <c r="Q14" s="63" t="s">
        <v>27</v>
      </c>
      <c r="R14" s="63" t="s">
        <v>28</v>
      </c>
      <c r="S14" s="64" t="s">
        <v>29</v>
      </c>
      <c r="T14" s="63" t="s">
        <v>30</v>
      </c>
      <c r="U14" s="65" t="s">
        <v>31</v>
      </c>
      <c r="V14" s="66" t="s">
        <v>32</v>
      </c>
      <c r="W14" s="67" t="s">
        <v>33</v>
      </c>
      <c r="X14" s="68" t="s">
        <v>34</v>
      </c>
      <c r="Y14" s="66" t="s">
        <v>35</v>
      </c>
      <c r="Z14" s="69" t="s">
        <v>36</v>
      </c>
      <c r="AA14" s="70" t="s">
        <v>37</v>
      </c>
      <c r="AB14" s="71" t="s">
        <v>38</v>
      </c>
      <c r="AC14" s="69" t="s">
        <v>39</v>
      </c>
    </row>
    <row r="15" spans="2:29" ht="36" customHeight="1"/>
    <row r="16" spans="2:29" ht="36" customHeight="1"/>
    <row r="17" ht="36" customHeight="1"/>
    <row r="18" ht="36" customHeight="1"/>
    <row r="19" ht="36" customHeight="1"/>
    <row r="20" ht="36" customHeight="1"/>
    <row r="21" ht="36" customHeight="1"/>
    <row r="22" ht="36" customHeight="1"/>
    <row r="23" ht="36" customHeight="1"/>
    <row r="24" ht="36" customHeight="1"/>
    <row r="25" ht="36" customHeight="1"/>
    <row r="26" ht="36" customHeight="1"/>
    <row r="27" ht="36" customHeight="1"/>
  </sheetData>
  <mergeCells count="10">
    <mergeCell ref="J7:J10"/>
    <mergeCell ref="I7:I10"/>
    <mergeCell ref="B12:AC12"/>
    <mergeCell ref="D13:K13"/>
    <mergeCell ref="M13:AC13"/>
    <mergeCell ref="B2:L3"/>
    <mergeCell ref="K4:L4"/>
    <mergeCell ref="K6:L6"/>
    <mergeCell ref="K5:L5"/>
    <mergeCell ref="K7:L10"/>
  </mergeCells>
  <pageMargins left="0" right="0" top="0" bottom="0" header="0" footer="0"/>
  <pageSetup paperSize="9" fitToHeight="0" orientation="landscape"/>
  <headerFooter>
    <oddFooter>Compare source: DS_PTX_Compare_Result_20260721_092700.xlsx | Original Test Data source: Test_Data_Downstream-for pilot.xlsx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18F13-A1D8-4530-ABE2-2CAA0DAD81DF}">
  <sheetPr>
    <tabColor rgb="FF002060"/>
  </sheetPr>
  <dimension ref="A1:AJ111"/>
  <sheetViews>
    <sheetView workbookViewId="0">
      <pane xSplit="3" ySplit="1" topLeftCell="D2" activePane="bottomRight" state="frozen"/>
      <selection pane="topRight"/>
      <selection pane="bottomLeft"/>
      <selection pane="bottomRight" activeCell="A2" sqref="A2:AJ111"/>
    </sheetView>
  </sheetViews>
  <sheetFormatPr defaultRowHeight="14.4"/>
  <cols>
    <col min="1" max="1" width="18" customWidth="1"/>
    <col min="2" max="2" width="12" customWidth="1"/>
    <col min="3" max="3" width="60" customWidth="1"/>
    <col min="4" max="5" width="18" customWidth="1"/>
    <col min="6" max="6" width="52" customWidth="1"/>
    <col min="7" max="9" width="18" customWidth="1"/>
    <col min="10" max="11" width="24" customWidth="1"/>
    <col min="12" max="12" width="18" customWidth="1"/>
    <col min="13" max="13" width="28" customWidth="1"/>
    <col min="14" max="14" width="24" customWidth="1"/>
    <col min="15" max="16" width="28" customWidth="1"/>
    <col min="17" max="18" width="18" customWidth="1"/>
    <col min="19" max="19" width="24" customWidth="1"/>
    <col min="20" max="21" width="18" customWidth="1"/>
    <col min="22" max="22" width="25" customWidth="1"/>
    <col min="23" max="25" width="18" customWidth="1"/>
    <col min="26" max="26" width="34" customWidth="1"/>
    <col min="27" max="27" width="30" customWidth="1"/>
    <col min="28" max="34" width="18" customWidth="1"/>
    <col min="35" max="35" width="38" customWidth="1"/>
    <col min="36" max="36" width="24" customWidth="1"/>
  </cols>
  <sheetData>
    <row r="1" spans="1:36" ht="54.9" customHeight="1">
      <c r="A1" s="1" t="s">
        <v>24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16</v>
      </c>
      <c r="G1" s="1" t="s">
        <v>44</v>
      </c>
      <c r="H1" s="1" t="s">
        <v>45</v>
      </c>
      <c r="I1" s="1" t="s">
        <v>46</v>
      </c>
      <c r="J1" s="1" t="s">
        <v>47</v>
      </c>
      <c r="K1" s="1" t="s">
        <v>48</v>
      </c>
      <c r="L1" s="1" t="s">
        <v>17</v>
      </c>
      <c r="M1" s="1" t="s">
        <v>18</v>
      </c>
      <c r="N1" s="1" t="s">
        <v>19</v>
      </c>
      <c r="O1" s="1" t="s">
        <v>20</v>
      </c>
      <c r="P1" s="1" t="s">
        <v>49</v>
      </c>
      <c r="Q1" s="1" t="s">
        <v>50</v>
      </c>
      <c r="R1" s="1" t="s">
        <v>51</v>
      </c>
      <c r="S1" s="1" t="s">
        <v>52</v>
      </c>
      <c r="T1" s="1" t="s">
        <v>21</v>
      </c>
      <c r="U1" s="1" t="s">
        <v>22</v>
      </c>
      <c r="V1" s="1" t="s">
        <v>23</v>
      </c>
      <c r="W1" s="1" t="s">
        <v>53</v>
      </c>
      <c r="X1" s="1" t="s">
        <v>54</v>
      </c>
      <c r="Y1" s="1" t="s">
        <v>55</v>
      </c>
      <c r="Z1" s="1" t="s">
        <v>56</v>
      </c>
      <c r="AA1" s="1" t="s">
        <v>57</v>
      </c>
      <c r="AB1" s="1" t="s">
        <v>58</v>
      </c>
      <c r="AC1" s="1" t="s">
        <v>59</v>
      </c>
      <c r="AD1" s="1" t="s">
        <v>60</v>
      </c>
      <c r="AE1" s="1" t="s">
        <v>61</v>
      </c>
      <c r="AF1" s="1" t="s">
        <v>62</v>
      </c>
      <c r="AG1" s="1" t="s">
        <v>63</v>
      </c>
      <c r="AH1" s="1" t="s">
        <v>64</v>
      </c>
      <c r="AI1" s="1" t="s">
        <v>65</v>
      </c>
      <c r="AJ1" s="1" t="s">
        <v>66</v>
      </c>
    </row>
    <row r="2" spans="1:36" ht="21.9" customHeight="1"/>
    <row r="3" spans="1:36" ht="21.9" customHeight="1"/>
    <row r="4" spans="1:36" ht="21.9" customHeight="1"/>
    <row r="5" spans="1:36" ht="21.9" customHeight="1"/>
    <row r="6" spans="1:36" ht="21.9" customHeight="1"/>
    <row r="7" spans="1:36" ht="21.9" customHeight="1"/>
    <row r="8" spans="1:36" ht="21.9" customHeight="1"/>
    <row r="9" spans="1:36" ht="21.9" customHeight="1"/>
    <row r="10" spans="1:36" ht="21.9" customHeight="1"/>
    <row r="11" spans="1:36" ht="21.9" customHeight="1"/>
    <row r="12" spans="1:36" ht="21.9" customHeight="1"/>
    <row r="13" spans="1:36" ht="21.9" customHeight="1"/>
    <row r="14" spans="1:36" ht="21.9" customHeight="1"/>
    <row r="15" spans="1:36" ht="21.9" customHeight="1"/>
    <row r="16" spans="1:36" ht="21.9" customHeight="1"/>
    <row r="17" ht="21.9" customHeight="1"/>
    <row r="18" ht="21.9" customHeight="1"/>
    <row r="19" ht="21.9" customHeight="1"/>
    <row r="20" ht="21.9" customHeight="1"/>
    <row r="21" ht="21.9" customHeight="1"/>
    <row r="22" ht="21.9" customHeight="1"/>
    <row r="23" ht="21.9" customHeight="1"/>
    <row r="24" ht="21.9" customHeight="1"/>
    <row r="25" ht="21.9" customHeight="1"/>
    <row r="26" ht="21.9" customHeight="1"/>
    <row r="27" ht="21.9" customHeight="1"/>
    <row r="28" ht="21.9" customHeight="1"/>
    <row r="29" ht="21.9" customHeight="1"/>
    <row r="30" ht="21.9" customHeight="1"/>
    <row r="31" ht="21.9" customHeight="1"/>
    <row r="32" ht="21.9" customHeight="1"/>
    <row r="33" ht="21.9" customHeight="1"/>
    <row r="34" ht="21.9" customHeight="1"/>
    <row r="35" ht="21.9" customHeight="1"/>
    <row r="36" ht="21.9" customHeight="1"/>
    <row r="37" ht="21.9" customHeight="1"/>
    <row r="38" ht="21.9" customHeight="1"/>
    <row r="39" ht="21.9" customHeight="1"/>
    <row r="40" ht="21.9" customHeight="1"/>
    <row r="41" ht="21.9" customHeight="1"/>
    <row r="42" ht="21.9" customHeight="1"/>
    <row r="43" ht="21.9" customHeight="1"/>
    <row r="44" ht="21.9" customHeight="1"/>
    <row r="45" ht="21.9" customHeight="1"/>
    <row r="46" ht="21.9" customHeight="1"/>
    <row r="47" ht="21.9" customHeight="1"/>
    <row r="48" ht="21.9" customHeight="1"/>
    <row r="49" ht="21.9" customHeight="1"/>
    <row r="50" ht="21.9" customHeight="1"/>
    <row r="51" ht="21.9" customHeight="1"/>
    <row r="52" ht="21.9" customHeight="1"/>
    <row r="53" ht="21.9" customHeight="1"/>
    <row r="54" ht="21.9" customHeight="1"/>
    <row r="55" ht="21.9" customHeight="1"/>
    <row r="56" ht="21.9" customHeight="1"/>
    <row r="57" ht="21.9" customHeight="1"/>
    <row r="58" ht="21.9" customHeight="1"/>
    <row r="59" ht="21.9" customHeight="1"/>
    <row r="60" ht="21.9" customHeight="1"/>
    <row r="61" ht="21.9" customHeight="1"/>
    <row r="62" ht="21.9" customHeight="1"/>
    <row r="63" ht="21.9" customHeight="1"/>
    <row r="64" ht="21.9" customHeight="1"/>
    <row r="65" ht="21.9" customHeight="1"/>
    <row r="66" ht="21.9" customHeight="1"/>
    <row r="67" ht="21.9" customHeight="1"/>
    <row r="68" ht="21.9" customHeight="1"/>
    <row r="69" ht="21.9" customHeight="1"/>
    <row r="70" ht="21.9" customHeight="1"/>
    <row r="71" ht="21.9" customHeight="1"/>
    <row r="72" ht="21.9" customHeight="1"/>
    <row r="73" ht="21.9" customHeight="1"/>
    <row r="74" ht="21.9" customHeight="1"/>
    <row r="75" ht="21.9" customHeight="1"/>
    <row r="76" ht="21.9" customHeight="1"/>
    <row r="77" ht="21.9" customHeight="1"/>
    <row r="78" ht="21.9" customHeight="1"/>
    <row r="79" ht="21.9" customHeight="1"/>
    <row r="80" ht="21.9" customHeight="1"/>
    <row r="81" ht="21.9" customHeight="1"/>
    <row r="82" ht="21.9" customHeight="1"/>
    <row r="83" ht="21.9" customHeight="1"/>
    <row r="84" ht="21.9" customHeight="1"/>
    <row r="85" ht="21.9" customHeight="1"/>
    <row r="86" ht="21.9" customHeight="1"/>
    <row r="87" ht="21.9" customHeight="1"/>
    <row r="88" ht="21.9" customHeight="1"/>
    <row r="89" ht="21.9" customHeight="1"/>
    <row r="90" ht="21.9" customHeight="1"/>
    <row r="91" ht="21.9" customHeight="1"/>
    <row r="92" ht="21.9" customHeight="1"/>
    <row r="93" ht="21.9" customHeight="1"/>
    <row r="94" ht="21.9" customHeight="1"/>
    <row r="95" ht="21.9" customHeight="1"/>
    <row r="96" ht="21.9" customHeight="1"/>
    <row r="97" ht="21.9" customHeight="1"/>
    <row r="98" ht="21.9" customHeight="1"/>
    <row r="99" ht="21.9" customHeight="1"/>
    <row r="100" ht="21.9" customHeight="1"/>
    <row r="101" ht="21.9" customHeight="1"/>
    <row r="102" ht="21.9" customHeight="1"/>
    <row r="103" ht="21.9" customHeight="1"/>
    <row r="104" ht="21.9" customHeight="1"/>
    <row r="105" ht="21.9" customHeight="1"/>
    <row r="106" ht="21.9" customHeight="1"/>
    <row r="107" ht="21.9" customHeight="1"/>
    <row r="108" ht="21.9" customHeight="1"/>
    <row r="109" ht="21.9" customHeight="1"/>
    <row r="110" ht="30" customHeight="1"/>
    <row r="111" ht="39.9" customHeight="1"/>
  </sheetData>
  <autoFilter ref="A1:AJ1" xr:uid="{00000000-0009-0000-0000-000000000000}"/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F991C-2FCC-404B-B768-B945FD7AB35F}">
  <sheetPr>
    <tabColor rgb="FF002060"/>
  </sheetPr>
  <dimension ref="A1:AG1"/>
  <sheetViews>
    <sheetView zoomScaleNormal="100" workbookViewId="0">
      <pane ySplit="1" topLeftCell="A2" activePane="bottomLeft" state="frozen"/>
      <selection pane="bottomLeft" activeCell="C21" sqref="C21"/>
    </sheetView>
  </sheetViews>
  <sheetFormatPr defaultRowHeight="14.4"/>
  <cols>
    <col min="1" max="1" width="10.44140625" customWidth="1"/>
    <col min="2" max="2" width="9.6640625" customWidth="1"/>
    <col min="3" max="3" width="49.88671875" customWidth="1"/>
    <col min="4" max="4" width="10" customWidth="1"/>
    <col min="5" max="6" width="10.6640625" customWidth="1"/>
    <col min="7" max="7" width="27.88671875" customWidth="1"/>
    <col min="8" max="8" width="25.109375" customWidth="1"/>
    <col min="9" max="9" width="13.33203125" customWidth="1"/>
    <col min="10" max="10" width="32.109375" customWidth="1"/>
    <col min="11" max="11" width="25.88671875" customWidth="1"/>
    <col min="12" max="12" width="31.6640625" customWidth="1"/>
    <col min="13" max="13" width="32" customWidth="1"/>
    <col min="14" max="14" width="16" customWidth="1"/>
    <col min="15" max="15" width="19.6640625" customWidth="1"/>
    <col min="16" max="16" width="26" customWidth="1"/>
    <col min="17" max="17" width="16.6640625" customWidth="1"/>
    <col min="18" max="18" width="11.33203125" customWidth="1"/>
    <col min="19" max="19" width="37.109375" customWidth="1"/>
    <col min="20" max="20" width="20.6640625" customWidth="1"/>
    <col min="21" max="21" width="9.6640625" customWidth="1"/>
    <col min="22" max="22" width="21.6640625" customWidth="1"/>
    <col min="23" max="23" width="34.6640625" customWidth="1"/>
    <col min="24" max="24" width="41" customWidth="1"/>
    <col min="25" max="25" width="10.33203125" customWidth="1"/>
    <col min="26" max="26" width="13.5546875" customWidth="1"/>
    <col min="27" max="27" width="13.109375" customWidth="1"/>
    <col min="28" max="28" width="17.5546875" customWidth="1"/>
    <col min="29" max="29" width="12.5546875" customWidth="1"/>
    <col min="30" max="30" width="19.109375" customWidth="1"/>
    <col min="31" max="31" width="18.109375" customWidth="1"/>
    <col min="32" max="32" width="63" customWidth="1"/>
    <col min="33" max="33" width="26.44140625" customWidth="1"/>
  </cols>
  <sheetData>
    <row r="1" spans="1:33" ht="24.9" customHeight="1">
      <c r="A1" s="35" t="s">
        <v>42</v>
      </c>
      <c r="B1" s="35" t="s">
        <v>43</v>
      </c>
      <c r="C1" s="36" t="s">
        <v>16</v>
      </c>
      <c r="D1" s="36" t="s">
        <v>44</v>
      </c>
      <c r="E1" s="36" t="s">
        <v>45</v>
      </c>
      <c r="F1" s="36" t="s">
        <v>46</v>
      </c>
      <c r="G1" s="35" t="s">
        <v>47</v>
      </c>
      <c r="H1" s="35" t="s">
        <v>48</v>
      </c>
      <c r="I1" s="35" t="s">
        <v>17</v>
      </c>
      <c r="J1" s="35" t="s">
        <v>18</v>
      </c>
      <c r="K1" s="35" t="s">
        <v>19</v>
      </c>
      <c r="L1" s="35" t="s">
        <v>20</v>
      </c>
      <c r="M1" s="36" t="s">
        <v>49</v>
      </c>
      <c r="N1" s="36" t="s">
        <v>50</v>
      </c>
      <c r="O1" s="36" t="s">
        <v>51</v>
      </c>
      <c r="P1" s="36" t="s">
        <v>52</v>
      </c>
      <c r="Q1" s="35" t="s">
        <v>21</v>
      </c>
      <c r="R1" s="36" t="s">
        <v>22</v>
      </c>
      <c r="S1" s="36" t="s">
        <v>23</v>
      </c>
      <c r="T1" s="35" t="s">
        <v>53</v>
      </c>
      <c r="U1" s="35" t="s">
        <v>54</v>
      </c>
      <c r="V1" s="35" t="s">
        <v>55</v>
      </c>
      <c r="W1" s="35" t="s">
        <v>56</v>
      </c>
      <c r="X1" s="35" t="s">
        <v>57</v>
      </c>
      <c r="Y1" s="35" t="s">
        <v>58</v>
      </c>
      <c r="Z1" s="35" t="s">
        <v>59</v>
      </c>
      <c r="AA1" s="35" t="s">
        <v>60</v>
      </c>
      <c r="AB1" s="35" t="s">
        <v>61</v>
      </c>
      <c r="AC1" s="35" t="s">
        <v>62</v>
      </c>
      <c r="AD1" s="35" t="s">
        <v>63</v>
      </c>
      <c r="AE1" s="35" t="s">
        <v>64</v>
      </c>
      <c r="AF1" s="35" t="s">
        <v>65</v>
      </c>
      <c r="AG1" s="35" t="s">
        <v>66</v>
      </c>
    </row>
  </sheetData>
  <autoFilter ref="A1:AG111" xr:uid="{00000000-0009-0000-0000-000000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B0887-4ECF-4FD4-9948-100171E07DB1}">
  <sheetPr>
    <tabColor rgb="FF00B050"/>
  </sheetPr>
  <dimension ref="A1:DB5"/>
  <sheetViews>
    <sheetView zoomScaleNormal="100" workbookViewId="0">
      <selection activeCell="A6" sqref="A6:XFD18"/>
    </sheetView>
  </sheetViews>
  <sheetFormatPr defaultRowHeight="16.5" customHeight="1"/>
  <cols>
    <col min="1" max="1" width="4.109375" customWidth="1"/>
    <col min="2" max="2" width="13.44140625" customWidth="1"/>
    <col min="3" max="3" width="35.109375" customWidth="1"/>
    <col min="4" max="4" width="9.44140625" customWidth="1"/>
    <col min="5" max="5" width="8.88671875" customWidth="1"/>
    <col min="6" max="6" width="32.44140625" customWidth="1"/>
    <col min="7" max="7" width="11.5546875" customWidth="1"/>
    <col min="8" max="8" width="18" customWidth="1"/>
    <col min="9" max="9" width="8.109375" customWidth="1"/>
    <col min="10" max="10" width="11" customWidth="1"/>
    <col min="12" max="12" width="13" customWidth="1"/>
    <col min="13" max="13" width="11.33203125" customWidth="1"/>
    <col min="14" max="14" width="21.44140625" customWidth="1"/>
    <col min="15" max="15" width="19.6640625" customWidth="1"/>
    <col min="16" max="16" width="27.44140625" customWidth="1"/>
    <col min="17" max="17" width="25.109375" customWidth="1"/>
    <col min="18" max="18" width="11" customWidth="1"/>
    <col min="19" max="19" width="21.6640625" customWidth="1"/>
    <col min="20" max="20" width="12.5546875" customWidth="1"/>
    <col min="21" max="21" width="31.109375" customWidth="1"/>
    <col min="22" max="22" width="16.44140625" customWidth="1"/>
    <col min="23" max="23" width="25.44140625" customWidth="1"/>
    <col min="24" max="24" width="8.44140625" customWidth="1"/>
    <col min="25" max="25" width="15.44140625" customWidth="1"/>
    <col min="26" max="26" width="14.88671875" customWidth="1"/>
    <col min="27" max="27" width="15.44140625" customWidth="1"/>
    <col min="28" max="28" width="16.88671875" customWidth="1"/>
    <col min="29" max="29" width="19.44140625" customWidth="1"/>
    <col min="30" max="30" width="24.5546875" customWidth="1"/>
    <col min="31" max="31" width="24" customWidth="1"/>
    <col min="32" max="32" width="27.6640625" customWidth="1"/>
    <col min="33" max="33" width="17.44140625" customWidth="1"/>
    <col min="34" max="34" width="18.33203125" customWidth="1"/>
    <col min="35" max="35" width="24" customWidth="1"/>
    <col min="36" max="36" width="16.33203125" customWidth="1"/>
    <col min="37" max="37" width="18" customWidth="1"/>
    <col min="38" max="38" width="27.44140625" customWidth="1"/>
    <col min="39" max="39" width="21.44140625" customWidth="1"/>
    <col min="40" max="40" width="15.33203125" customWidth="1"/>
    <col min="41" max="41" width="29" customWidth="1"/>
    <col min="42" max="42" width="22" customWidth="1"/>
    <col min="43" max="43" width="8.109375" customWidth="1"/>
    <col min="44" max="44" width="11" customWidth="1"/>
    <col min="45" max="45" width="14.44140625" customWidth="1"/>
    <col min="46" max="46" width="23.44140625" customWidth="1"/>
    <col min="47" max="47" width="23.109375" customWidth="1"/>
    <col min="48" max="48" width="17.44140625" customWidth="1"/>
    <col min="49" max="49" width="14.109375" customWidth="1"/>
    <col min="50" max="50" width="18.6640625" customWidth="1"/>
    <col min="51" max="51" width="23.44140625" customWidth="1"/>
    <col min="52" max="52" width="24.6640625" customWidth="1"/>
    <col min="53" max="55" width="12.5546875" customWidth="1"/>
    <col min="56" max="56" width="25.44140625" customWidth="1"/>
    <col min="57" max="57" width="22.44140625" customWidth="1"/>
    <col min="58" max="58" width="13.44140625" customWidth="1"/>
    <col min="59" max="59" width="15.109375" customWidth="1"/>
    <col min="60" max="60" width="13.44140625" customWidth="1"/>
    <col min="61" max="61" width="14.44140625" customWidth="1"/>
    <col min="62" max="62" width="15.44140625" customWidth="1"/>
    <col min="63" max="63" width="17.88671875" customWidth="1"/>
    <col min="64" max="64" width="12.5546875" customWidth="1"/>
    <col min="65" max="65" width="27.44140625" customWidth="1"/>
    <col min="66" max="66" width="24.44140625" customWidth="1"/>
    <col min="67" max="73" width="12.5546875" customWidth="1"/>
    <col min="74" max="74" width="27.44140625" customWidth="1"/>
    <col min="75" max="75" width="24.44140625" customWidth="1"/>
    <col min="76" max="87" width="12.5546875" customWidth="1"/>
    <col min="88" max="88" width="15.6640625" customWidth="1"/>
    <col min="89" max="95" width="12.5546875" customWidth="1"/>
    <col min="96" max="96" width="15.6640625" customWidth="1"/>
    <col min="97" max="97" width="17.6640625" customWidth="1"/>
    <col min="98" max="98" width="19.5546875" customWidth="1"/>
  </cols>
  <sheetData>
    <row r="1" spans="1:106" s="3" customFormat="1" ht="29.25" customHeight="1">
      <c r="A1" s="2" t="s">
        <v>67</v>
      </c>
    </row>
    <row r="2" spans="1:106" ht="6.75" customHeight="1"/>
    <row r="3" spans="1:106" s="7" customFormat="1" ht="14.4">
      <c r="A3" s="4" t="s">
        <v>68</v>
      </c>
      <c r="B3" s="5">
        <v>1</v>
      </c>
      <c r="C3" s="5">
        <v>2</v>
      </c>
      <c r="D3" s="5">
        <v>3</v>
      </c>
      <c r="E3" s="5">
        <v>4</v>
      </c>
      <c r="F3" s="5">
        <v>5</v>
      </c>
      <c r="G3" s="5">
        <v>6</v>
      </c>
      <c r="H3" s="5">
        <v>7</v>
      </c>
      <c r="I3" s="5">
        <v>8</v>
      </c>
      <c r="J3" s="5">
        <v>9</v>
      </c>
      <c r="K3" s="5">
        <v>10</v>
      </c>
      <c r="L3" s="5">
        <v>11</v>
      </c>
      <c r="M3" s="5">
        <v>12</v>
      </c>
      <c r="N3" s="5">
        <v>13</v>
      </c>
      <c r="O3" s="5">
        <v>14</v>
      </c>
      <c r="P3" s="5">
        <v>15</v>
      </c>
      <c r="Q3" s="5">
        <v>16</v>
      </c>
      <c r="R3" s="5">
        <v>17</v>
      </c>
      <c r="S3" s="5">
        <v>18</v>
      </c>
      <c r="T3" s="5">
        <v>19</v>
      </c>
      <c r="U3" s="5">
        <v>20</v>
      </c>
      <c r="V3" s="5">
        <v>21</v>
      </c>
      <c r="W3" s="5">
        <v>22</v>
      </c>
      <c r="X3" s="5">
        <v>23</v>
      </c>
      <c r="Y3" s="5">
        <v>24</v>
      </c>
      <c r="Z3" s="5">
        <v>25</v>
      </c>
      <c r="AA3" s="5">
        <v>26</v>
      </c>
      <c r="AB3" s="5">
        <v>27</v>
      </c>
      <c r="AC3" s="6">
        <v>28</v>
      </c>
      <c r="AD3" s="6">
        <v>29</v>
      </c>
      <c r="AE3" s="5">
        <v>30</v>
      </c>
      <c r="AF3" s="6">
        <v>31</v>
      </c>
      <c r="AG3" s="5">
        <v>32</v>
      </c>
      <c r="AH3" s="5">
        <v>33</v>
      </c>
      <c r="AI3" s="5">
        <v>34</v>
      </c>
      <c r="AJ3" s="5">
        <v>35</v>
      </c>
      <c r="AK3" s="5">
        <v>36</v>
      </c>
      <c r="AL3" s="5">
        <v>37</v>
      </c>
      <c r="AM3" s="5">
        <v>38</v>
      </c>
      <c r="AN3" s="5">
        <v>39</v>
      </c>
      <c r="AO3" s="5">
        <v>40</v>
      </c>
      <c r="AP3" s="5">
        <v>41</v>
      </c>
      <c r="AQ3" s="5">
        <v>42</v>
      </c>
      <c r="AR3" s="5">
        <v>43</v>
      </c>
      <c r="AS3" s="5">
        <v>44</v>
      </c>
      <c r="AT3" s="5">
        <v>45</v>
      </c>
      <c r="AU3" s="5">
        <v>46</v>
      </c>
      <c r="AV3" s="5">
        <v>47</v>
      </c>
      <c r="AW3" s="5">
        <v>48</v>
      </c>
      <c r="AX3" s="5">
        <v>49</v>
      </c>
      <c r="AY3" s="6">
        <v>50</v>
      </c>
      <c r="AZ3" s="6">
        <v>51</v>
      </c>
      <c r="BA3" s="5">
        <v>52</v>
      </c>
      <c r="BB3" s="5">
        <v>53</v>
      </c>
      <c r="BC3" s="5">
        <v>54</v>
      </c>
      <c r="BD3" s="5">
        <v>55</v>
      </c>
      <c r="BE3" s="5">
        <v>56</v>
      </c>
      <c r="BF3" s="5">
        <v>57</v>
      </c>
      <c r="BG3" s="5">
        <v>58</v>
      </c>
      <c r="BH3" s="5">
        <v>59</v>
      </c>
      <c r="BI3" s="5">
        <v>60</v>
      </c>
      <c r="BJ3" s="5">
        <v>61</v>
      </c>
      <c r="BK3" s="5">
        <v>62</v>
      </c>
      <c r="BL3" s="5">
        <v>63</v>
      </c>
      <c r="BM3" s="5">
        <v>64</v>
      </c>
      <c r="BN3" s="5">
        <v>65</v>
      </c>
      <c r="BO3" s="5">
        <v>66</v>
      </c>
      <c r="BP3" s="5">
        <v>67</v>
      </c>
      <c r="BQ3" s="5">
        <v>68</v>
      </c>
      <c r="BR3" s="5">
        <v>69</v>
      </c>
      <c r="BS3" s="5">
        <v>70</v>
      </c>
      <c r="BT3" s="5">
        <v>71</v>
      </c>
      <c r="BU3" s="5">
        <v>72</v>
      </c>
      <c r="BV3" s="5">
        <v>73</v>
      </c>
      <c r="BW3" s="5">
        <v>74</v>
      </c>
      <c r="BX3" s="5">
        <v>75</v>
      </c>
      <c r="BY3" s="5">
        <v>76</v>
      </c>
      <c r="BZ3" s="5">
        <v>77</v>
      </c>
      <c r="CA3" s="5">
        <v>78</v>
      </c>
      <c r="CB3" s="5">
        <v>79</v>
      </c>
      <c r="CC3" s="5">
        <v>80</v>
      </c>
      <c r="CD3" s="5">
        <v>81</v>
      </c>
      <c r="CE3" s="5">
        <v>82</v>
      </c>
      <c r="CF3" s="5">
        <v>83</v>
      </c>
      <c r="CG3" s="5">
        <v>84</v>
      </c>
      <c r="CH3" s="5">
        <v>85</v>
      </c>
      <c r="CI3" s="5">
        <v>86</v>
      </c>
      <c r="CJ3" s="5">
        <v>87</v>
      </c>
      <c r="CK3" s="5">
        <v>88</v>
      </c>
      <c r="CL3" s="5">
        <v>89</v>
      </c>
      <c r="CM3" s="5">
        <v>90</v>
      </c>
      <c r="CN3" s="5">
        <v>91</v>
      </c>
      <c r="CO3" s="5">
        <v>92</v>
      </c>
      <c r="CP3" s="5">
        <v>93</v>
      </c>
      <c r="CQ3" s="5">
        <v>94</v>
      </c>
      <c r="CR3" s="5">
        <v>95</v>
      </c>
      <c r="CS3" s="5">
        <v>96</v>
      </c>
      <c r="CT3" s="5">
        <v>97</v>
      </c>
      <c r="CU3" s="5">
        <v>98</v>
      </c>
    </row>
    <row r="4" spans="1:106" s="8" customFormat="1" ht="15" customHeight="1">
      <c r="N4" s="43" t="s">
        <v>69</v>
      </c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  <c r="AE4" s="44"/>
      <c r="AF4" s="44"/>
      <c r="AG4" s="45"/>
      <c r="AH4" s="9" t="s">
        <v>70</v>
      </c>
      <c r="AI4" s="9"/>
      <c r="AJ4" s="9"/>
      <c r="AK4" s="10" t="s">
        <v>71</v>
      </c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2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  <c r="BR4" s="11"/>
      <c r="BS4" s="11"/>
      <c r="BT4" s="11"/>
      <c r="BU4" s="11"/>
      <c r="BV4" s="11"/>
      <c r="BW4" s="11"/>
      <c r="BX4" s="11"/>
      <c r="BY4" s="11"/>
      <c r="BZ4" s="11"/>
      <c r="CA4" s="11"/>
      <c r="CB4" s="11"/>
      <c r="CC4" s="11"/>
      <c r="CD4" s="11"/>
      <c r="CE4" s="11"/>
      <c r="CF4" s="11"/>
      <c r="CG4" s="11"/>
      <c r="CH4" s="11"/>
      <c r="CI4" s="11"/>
      <c r="CJ4" s="11"/>
      <c r="CK4" s="11"/>
      <c r="CL4" s="11"/>
      <c r="CM4" s="11"/>
      <c r="CN4" s="11"/>
      <c r="CO4" s="11"/>
      <c r="CP4" s="11"/>
      <c r="CQ4" s="11"/>
      <c r="CR4" s="11"/>
      <c r="CS4" s="13" t="s">
        <v>72</v>
      </c>
      <c r="CT4" s="14"/>
      <c r="CU4" s="14"/>
      <c r="CW4" s="46" t="s">
        <v>73</v>
      </c>
      <c r="CX4" s="46"/>
      <c r="CY4" s="46"/>
      <c r="CZ4" s="46"/>
      <c r="DA4" s="46"/>
      <c r="DB4" s="46"/>
    </row>
    <row r="5" spans="1:106" s="33" customFormat="1" ht="18.75" customHeight="1">
      <c r="A5" s="15"/>
      <c r="B5" s="16" t="s">
        <v>74</v>
      </c>
      <c r="C5" s="16" t="s">
        <v>25</v>
      </c>
      <c r="D5" s="16" t="s">
        <v>26</v>
      </c>
      <c r="E5" s="16" t="s">
        <v>75</v>
      </c>
      <c r="F5" s="16" t="s">
        <v>76</v>
      </c>
      <c r="G5" s="16" t="s">
        <v>77</v>
      </c>
      <c r="H5" s="16" t="s">
        <v>78</v>
      </c>
      <c r="I5" s="16" t="s">
        <v>79</v>
      </c>
      <c r="J5" s="16" t="s">
        <v>80</v>
      </c>
      <c r="K5" s="16" t="s">
        <v>81</v>
      </c>
      <c r="L5" s="16" t="s">
        <v>82</v>
      </c>
      <c r="M5" s="17" t="s">
        <v>83</v>
      </c>
      <c r="N5" s="18" t="s">
        <v>27</v>
      </c>
      <c r="O5" s="19" t="s">
        <v>84</v>
      </c>
      <c r="P5" s="19" t="s">
        <v>85</v>
      </c>
      <c r="Q5" s="19" t="s">
        <v>86</v>
      </c>
      <c r="R5" s="19" t="s">
        <v>87</v>
      </c>
      <c r="S5" s="19" t="s">
        <v>28</v>
      </c>
      <c r="T5" s="19" t="s">
        <v>88</v>
      </c>
      <c r="U5" s="20" t="s">
        <v>89</v>
      </c>
      <c r="V5" s="20" t="s">
        <v>90</v>
      </c>
      <c r="W5" s="20" t="s">
        <v>91</v>
      </c>
      <c r="X5" s="19" t="s">
        <v>92</v>
      </c>
      <c r="Y5" s="19" t="s">
        <v>93</v>
      </c>
      <c r="Z5" s="20" t="s">
        <v>94</v>
      </c>
      <c r="AA5" s="20" t="s">
        <v>29</v>
      </c>
      <c r="AB5" s="19" t="s">
        <v>95</v>
      </c>
      <c r="AC5" s="19" t="s">
        <v>30</v>
      </c>
      <c r="AD5" s="19" t="s">
        <v>31</v>
      </c>
      <c r="AE5" s="19" t="s">
        <v>96</v>
      </c>
      <c r="AF5" s="20" t="s">
        <v>97</v>
      </c>
      <c r="AG5" s="21" t="s">
        <v>98</v>
      </c>
      <c r="AH5" s="22" t="s">
        <v>99</v>
      </c>
      <c r="AI5" s="23" t="s">
        <v>100</v>
      </c>
      <c r="AJ5" s="24" t="s">
        <v>101</v>
      </c>
      <c r="AK5" s="18" t="s">
        <v>102</v>
      </c>
      <c r="AL5" s="19" t="s">
        <v>103</v>
      </c>
      <c r="AM5" s="19" t="s">
        <v>104</v>
      </c>
      <c r="AN5" s="19" t="s">
        <v>105</v>
      </c>
      <c r="AO5" s="19" t="s">
        <v>106</v>
      </c>
      <c r="AP5" s="25" t="s">
        <v>107</v>
      </c>
      <c r="AQ5" s="25" t="s">
        <v>108</v>
      </c>
      <c r="AR5" s="25" t="s">
        <v>109</v>
      </c>
      <c r="AS5" s="20" t="s">
        <v>110</v>
      </c>
      <c r="AT5" s="20" t="s">
        <v>111</v>
      </c>
      <c r="AU5" s="20" t="s">
        <v>112</v>
      </c>
      <c r="AV5" s="19" t="s">
        <v>113</v>
      </c>
      <c r="AW5" s="19" t="s">
        <v>114</v>
      </c>
      <c r="AX5" s="20" t="s">
        <v>115</v>
      </c>
      <c r="AY5" s="20" t="s">
        <v>116</v>
      </c>
      <c r="AZ5" s="20" t="s">
        <v>117</v>
      </c>
      <c r="BA5" s="21" t="s">
        <v>118</v>
      </c>
      <c r="BB5" s="26" t="s">
        <v>32</v>
      </c>
      <c r="BC5" s="26" t="s">
        <v>119</v>
      </c>
      <c r="BD5" s="27" t="s">
        <v>33</v>
      </c>
      <c r="BE5" s="27" t="s">
        <v>120</v>
      </c>
      <c r="BF5" s="26" t="s">
        <v>121</v>
      </c>
      <c r="BG5" s="28" t="s">
        <v>122</v>
      </c>
      <c r="BH5" s="26" t="s">
        <v>123</v>
      </c>
      <c r="BI5" s="26" t="s">
        <v>34</v>
      </c>
      <c r="BJ5" s="26" t="s">
        <v>124</v>
      </c>
      <c r="BK5" s="29" t="s">
        <v>36</v>
      </c>
      <c r="BL5" s="29" t="s">
        <v>125</v>
      </c>
      <c r="BM5" s="29" t="s">
        <v>37</v>
      </c>
      <c r="BN5" s="29" t="s">
        <v>126</v>
      </c>
      <c r="BO5" s="29" t="s">
        <v>127</v>
      </c>
      <c r="BP5" s="29" t="s">
        <v>128</v>
      </c>
      <c r="BQ5" s="29" t="s">
        <v>129</v>
      </c>
      <c r="BR5" s="29" t="s">
        <v>130</v>
      </c>
      <c r="BS5" s="29" t="s">
        <v>39</v>
      </c>
      <c r="BT5" s="26" t="s">
        <v>131</v>
      </c>
      <c r="BU5" s="26" t="s">
        <v>132</v>
      </c>
      <c r="BV5" s="26" t="s">
        <v>133</v>
      </c>
      <c r="BW5" s="26" t="s">
        <v>134</v>
      </c>
      <c r="BX5" s="26" t="s">
        <v>135</v>
      </c>
      <c r="BY5" s="26" t="s">
        <v>136</v>
      </c>
      <c r="BZ5" s="26" t="s">
        <v>137</v>
      </c>
      <c r="CA5" s="26" t="s">
        <v>138</v>
      </c>
      <c r="CB5" s="26" t="s">
        <v>139</v>
      </c>
      <c r="CC5" s="29" t="s">
        <v>140</v>
      </c>
      <c r="CD5" s="29" t="s">
        <v>141</v>
      </c>
      <c r="CE5" s="29" t="s">
        <v>142</v>
      </c>
      <c r="CF5" s="29" t="s">
        <v>143</v>
      </c>
      <c r="CG5" s="29" t="s">
        <v>144</v>
      </c>
      <c r="CH5" s="29" t="s">
        <v>145</v>
      </c>
      <c r="CI5" s="29" t="s">
        <v>146</v>
      </c>
      <c r="CJ5" s="29" t="s">
        <v>147</v>
      </c>
      <c r="CK5" s="30" t="s">
        <v>148</v>
      </c>
      <c r="CL5" s="30" t="s">
        <v>149</v>
      </c>
      <c r="CM5" s="30" t="s">
        <v>150</v>
      </c>
      <c r="CN5" s="30" t="s">
        <v>151</v>
      </c>
      <c r="CO5" s="30" t="s">
        <v>152</v>
      </c>
      <c r="CP5" s="30" t="s">
        <v>153</v>
      </c>
      <c r="CQ5" s="30" t="s">
        <v>154</v>
      </c>
      <c r="CR5" s="30" t="s">
        <v>155</v>
      </c>
      <c r="CS5" s="31" t="s">
        <v>156</v>
      </c>
      <c r="CT5" s="32" t="s">
        <v>157</v>
      </c>
      <c r="CU5" s="32" t="s">
        <v>41</v>
      </c>
      <c r="CW5" s="34" t="s">
        <v>158</v>
      </c>
      <c r="CX5" s="34" t="s">
        <v>159</v>
      </c>
      <c r="CY5" s="34" t="s">
        <v>160</v>
      </c>
      <c r="CZ5" s="34" t="s">
        <v>161</v>
      </c>
      <c r="DA5" s="34" t="s">
        <v>162</v>
      </c>
      <c r="DB5" s="34" t="s">
        <v>163</v>
      </c>
    </row>
  </sheetData>
  <autoFilter ref="A3:CU5" xr:uid="{00000000-0009-0000-0000-000000000000}"/>
  <mergeCells count="2">
    <mergeCell ref="N4:AG4"/>
    <mergeCell ref="CW4:DB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F66A14B1547C4C9D7BAD680DA88C61" ma:contentTypeVersion="15" ma:contentTypeDescription="Create a new document." ma:contentTypeScope="" ma:versionID="002aa387ec480ae932de6dc40f75283b">
  <xsd:schema xmlns:xsd="http://www.w3.org/2001/XMLSchema" xmlns:xs="http://www.w3.org/2001/XMLSchema" xmlns:p="http://schemas.microsoft.com/office/2006/metadata/properties" xmlns:ns1="http://schemas.microsoft.com/sharepoint/v3" xmlns:ns2="8bd2d439-aea9-4035-b4e9-8ef80bf90cb6" xmlns:ns3="a692c345-fe85-4329-9b32-d42bd9ce568f" targetNamespace="http://schemas.microsoft.com/office/2006/metadata/properties" ma:root="true" ma:fieldsID="d9230dd1b22e970ac78e7c979b83a161" ns1:_="" ns2:_="" ns3:_="">
    <xsd:import namespace="http://schemas.microsoft.com/sharepoint/v3"/>
    <xsd:import namespace="8bd2d439-aea9-4035-b4e9-8ef80bf90cb6"/>
    <xsd:import namespace="a692c345-fe85-4329-9b32-d42bd9ce568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1:_ip_UnifiedCompliancePolicyProperties" minOccurs="0"/>
                <xsd:element ref="ns1:_ip_UnifiedCompliancePolicyUIAction" minOccurs="0"/>
                <xsd:element ref="ns2: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d2d439-aea9-4035-b4e9-8ef80bf90c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853732c-949f-4082-84fe-91e97366094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Tags" ma:index="22" nillable="true" ma:displayName="Tags" ma:format="Dropdown" ma:internalName="Tags">
      <xsd:simpleType>
        <xsd:union memberTypes="dms:Text">
          <xsd:simpleType>
            <xsd:restriction base="dms:Choice">
              <xsd:enumeration value="Downstream"/>
            </xsd:restriction>
          </xsd:simpleType>
        </xsd:un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92c345-fe85-4329-9b32-d42bd9ce568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934b41b-324e-4ea5-8868-37e3e72937ab}" ma:internalName="TaxCatchAll" ma:showField="CatchAllData" ma:web="a692c345-fe85-4329-9b32-d42bd9ce568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692c345-fe85-4329-9b32-d42bd9ce568f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8bd2d439-aea9-4035-b4e9-8ef80bf90cb6">
      <Terms xmlns="http://schemas.microsoft.com/office/infopath/2007/PartnerControls"/>
    </lcf76f155ced4ddcb4097134ff3c332f>
    <Tags xmlns="8bd2d439-aea9-4035-b4e9-8ef80bf90cb6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CEA9648-8367-47DC-ADE8-4476C3E6331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8bd2d439-aea9-4035-b4e9-8ef80bf90cb6"/>
    <ds:schemaRef ds:uri="a692c345-fe85-4329-9b32-d42bd9ce568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6837ADB-92C0-45FC-8A3D-6A37CAE6A84A}">
  <ds:schemaRefs>
    <ds:schemaRef ds:uri="http://schemas.microsoft.com/office/2006/metadata/properties"/>
    <ds:schemaRef ds:uri="http://schemas.microsoft.com/office/infopath/2007/PartnerControls"/>
    <ds:schemaRef ds:uri="a692c345-fe85-4329-9b32-d42bd9ce568f"/>
    <ds:schemaRef ds:uri="http://schemas.microsoft.com/sharepoint/v3"/>
    <ds:schemaRef ds:uri="8bd2d439-aea9-4035-b4e9-8ef80bf90cb6"/>
  </ds:schemaRefs>
</ds:datastoreItem>
</file>

<file path=customXml/itemProps3.xml><?xml version="1.0" encoding="utf-8"?>
<ds:datastoreItem xmlns:ds="http://schemas.openxmlformats.org/officeDocument/2006/customXml" ds:itemID="{92CCEDE5-69F5-4261-9C3E-4530177D980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DS_PTX Summary Test Results</vt:lpstr>
      <vt:lpstr>DS_PTX_Reconcile</vt:lpstr>
      <vt:lpstr>DS_PTX</vt:lpstr>
      <vt:lpstr>Test Data</vt:lpstr>
      <vt:lpstr>DS_PTX!_FilterDatabase</vt:lpstr>
      <vt:lpstr>_FilterDatabase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2026-05-10T18:11:47Z</dcterms:created>
  <dcterms:modified xsi:type="dcterms:W3CDTF">2026-08-18T09:33:45Z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0x010100C8F66A14B1547C4C9D7BAD680DA88C61</vt:lpwstr>
  </property>
  <property fmtid="{D5CDD505-2E9C-101B-9397-08002B2CF9AE}" pid="3" name="MediaServiceImageTags">
    <vt:lpwstr/>
  </property>
</Properties>
</file>