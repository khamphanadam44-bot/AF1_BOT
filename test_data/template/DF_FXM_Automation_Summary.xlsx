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102" documentId="8_{3CDB1B42-B0FC-4B13-9154-FE4BEDFF149F}" xr6:coauthVersionLast="47" xr6:coauthVersionMax="47" xr10:uidLastSave="{DD64DF31-6B4A-4224-9119-AE321393A4C6}"/>
  <bookViews>
    <workbookView xWindow="28680" yWindow="-120" windowWidth="20730" windowHeight="11040" xr2:uid="{00000000-000D-0000-FFFF-FFFF00000000}"/>
  </bookViews>
  <sheets>
    <sheet name="DF_FXM_Summary Result" sheetId="2" r:id="rId1"/>
    <sheet name="DF_FXM_Reconcile" sheetId="5" r:id="rId2"/>
    <sheet name="DF_FXM" sheetId="4" r:id="rId3"/>
    <sheet name="Test Data" sheetId="6" r:id="rId4"/>
  </sheets>
  <definedNames>
    <definedName name="_xlnm._FilterDatabase" localSheetId="1" hidden="1">DF_FXM_Reconcile!$A$1:$AC$1</definedName>
    <definedName name="_xlnm._FilterDatabase">DF_FXM!#REF!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I5" i="2"/>
  <c r="H5" i="2"/>
</calcChain>
</file>

<file path=xl/sharedStrings.xml><?xml version="1.0" encoding="utf-8"?>
<sst xmlns="http://schemas.openxmlformats.org/spreadsheetml/2006/main" count="179" uniqueCount="166">
  <si>
    <t>Report File Name:</t>
  </si>
  <si>
    <t>TOTAL CHECKED</t>
  </si>
  <si>
    <t>PASSED/MATCH</t>
  </si>
  <si>
    <t>FAILED/UNMATCH</t>
  </si>
  <si>
    <t>Execution Date:</t>
  </si>
  <si>
    <t>Run ID:</t>
  </si>
  <si>
    <t>Verified By:</t>
  </si>
  <si>
    <t>SUMMARY DETAILS</t>
  </si>
  <si>
    <t>Test Script Data</t>
  </si>
  <si>
    <t>Test Result</t>
  </si>
  <si>
    <t>Reason</t>
  </si>
  <si>
    <t>Data Set Date</t>
  </si>
  <si>
    <t>Currency Id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</si>
  <si>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</si>
  <si>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</si>
  <si>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</si>
  <si>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</si>
  <si>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</si>
  <si>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</si>
  <si>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</si>
  <si>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</si>
  <si>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</si>
  <si>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</si>
  <si>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</si>
  <si>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Type 2</t>
  </si>
  <si>
    <t>Fee Charge Account No. Type 2</t>
  </si>
  <si>
    <t>Fee Currency 2</t>
  </si>
  <si>
    <t>Inflow Transaction Purpose</t>
  </si>
  <si>
    <t>Outflow Transaction Purpose</t>
  </si>
  <si>
    <t>Remark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</si>
  <si>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</si>
  <si>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</si>
  <si>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</si>
  <si>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</si>
  <si>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</si>
  <si>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</si>
  <si>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</si>
  <si>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</si>
  <si>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</si>
  <si>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</si>
  <si>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</si>
  <si>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</si>
  <si>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</si>
  <si>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</si>
  <si>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</si>
  <si>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</si>
  <si>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</si>
  <si>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</si>
  <si>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</si>
  <si>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</si>
  <si>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</si>
  <si>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</si>
  <si>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</si>
  <si>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</si>
  <si>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</si>
  <si>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</si>
  <si>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</si>
  <si>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</si>
  <si>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</si>
  <si>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</si>
  <si>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</si>
  <si>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</si>
  <si>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</si>
  <si>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</si>
  <si>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</si>
  <si>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</si>
  <si>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</si>
  <si>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</si>
  <si>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</si>
  <si>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</si>
  <si>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</si>
  <si>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</si>
  <si>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</si>
  <si>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</si>
  <si>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</si>
  <si>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</si>
  <si>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</si>
  <si>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</si>
  <si>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</si>
  <si>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</si>
  <si>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</si>
  <si>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</si>
  <si>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</si>
  <si>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</si>
  <si>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</si>
  <si>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</si>
  <si>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</si>
  <si>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</si>
  <si>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</si>
  <si>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</si>
  <si>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</si>
  <si>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</si>
  <si>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</si>
  <si>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</si>
  <si>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</si>
  <si>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</si>
  <si>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</si>
  <si>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</si>
  <si>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</si>
  <si>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</si>
  <si>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</si>
  <si>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</si>
  <si>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</si>
  <si>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</si>
  <si>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</si>
  <si>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</si>
  <si>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</si>
  <si>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</si>
  <si>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</si>
  <si>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</si>
  <si>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</si>
  <si>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</si>
  <si>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</si>
  <si>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</si>
  <si>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</si>
  <si>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</si>
  <si>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</si>
  <si>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</si>
  <si>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</si>
  <si>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</si>
  <si>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</si>
  <si>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</si>
  <si>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</si>
  <si>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</si>
  <si>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</si>
  <si>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</si>
  <si>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</si>
  <si>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Arr Number</t>
  </si>
  <si>
    <t>Leg Type</t>
  </si>
  <si>
    <t>Foreign Currency Amount</t>
  </si>
  <si>
    <t>Test Result.</t>
  </si>
  <si>
    <t>Dept Code</t>
  </si>
  <si>
    <t>System Id</t>
  </si>
  <si>
    <t>Reference Transaction Number</t>
  </si>
  <si>
    <t>Cust Code</t>
  </si>
  <si>
    <t>CMF CODE</t>
  </si>
  <si>
    <t>Cust Name</t>
  </si>
  <si>
    <t>Data Provider Branch Number</t>
  </si>
  <si>
    <t>FI Reporting Group Id</t>
  </si>
  <si>
    <t>Data Submission Period</t>
  </si>
  <si>
    <t>FX Arrangement Type</t>
  </si>
  <si>
    <t>FX Arrangement Type Name</t>
  </si>
  <si>
    <t>Country Id of Beneficiary Involved Party</t>
  </si>
  <si>
    <t>Country Id of Beneficiary Involved Party Name</t>
  </si>
  <si>
    <t>Business Type of Exercising Involved Party</t>
  </si>
  <si>
    <t>Business Type of Exercising Involved Party Name</t>
  </si>
  <si>
    <t>Inflow Transaction Purpose Name</t>
  </si>
  <si>
    <t>Outflow Transaction Purpose Name</t>
  </si>
  <si>
    <t>Currency Id Name</t>
  </si>
  <si>
    <t>Leg Type Name</t>
  </si>
  <si>
    <t>Arrangement Number</t>
  </si>
  <si>
    <t>Arrangement Type</t>
  </si>
  <si>
    <t>Fi Arrangement Type Name</t>
  </si>
  <si>
    <t>USD Equivalent Amount</t>
  </si>
  <si>
    <t>DF_FXM</t>
  </si>
  <si>
    <t>DF-FXM AUTOMATION VERIFICATION SUMMARY</t>
  </si>
  <si>
    <t>ACTUAL 
(Execution %)</t>
  </si>
  <si>
    <t>PASSED
(Pass Rate %)</t>
  </si>
  <si>
    <t>FAILED 
(Fail Rate%)</t>
  </si>
  <si>
    <t>2026-07-21</t>
  </si>
  <si>
    <t xml:space="preserve">Actual Execution Time Start : </t>
  </si>
  <si>
    <t>Actual Execution Time End:</t>
  </si>
  <si>
    <t>Duration Time:</t>
  </si>
  <si>
    <t>RUN_20260721_092700</t>
  </si>
  <si>
    <t>QAD Automation</t>
  </si>
  <si>
    <t>DF_FXM_Summary Test Results_20260721_092700.xlsx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</si>
</sst>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b/>
      <sz val="16"/>
      <color rgb="FF05192D"/>
      <name val="Aptos"/>
      <family val="2"/>
    </font>
    <font>
      <sz val="11"/>
      <color theme="1"/>
      <name val="Calibri"/>
      <family val="2"/>
      <charset val="222"/>
      <scheme val="minor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472C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53935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11" borderId="0" xfId="0" applyFont="1" applyFill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7" fillId="9" borderId="0" xfId="0" applyFont="1" applyFill="1" applyAlignment="1">
      <alignment horizontal="center" vertical="top"/>
    </xf>
    <xf numFmtId="0" fontId="15" fillId="0" borderId="0" xfId="0" applyFont="1" applyAlignment="1">
      <alignment horizontal="center"/>
    </xf>
    <xf numFmtId="0" fontId="18" fillId="0" borderId="0" xfId="0" applyFont="1"/>
    <xf numFmtId="0" fontId="20" fillId="12" borderId="4" xfId="0" applyFont="1" applyFill="1" applyBorder="1"/>
    <xf numFmtId="0" fontId="19" fillId="11" borderId="5" xfId="0" applyFont="1" applyFill="1" applyBorder="1"/>
    <xf numFmtId="0" fontId="19" fillId="11" borderId="4" xfId="0" applyFont="1" applyFill="1" applyBorder="1"/>
    <xf numFmtId="0" fontId="19" fillId="11" borderId="6" xfId="0" applyFont="1" applyFill="1" applyBorder="1"/>
    <xf numFmtId="0" fontId="21" fillId="11" borderId="5" xfId="0" applyFont="1" applyFill="1" applyBorder="1" applyAlignment="1">
      <alignment horizontal="center"/>
    </xf>
    <xf numFmtId="0" fontId="21" fillId="11" borderId="4" xfId="0" applyFont="1" applyFill="1" applyBorder="1" applyAlignment="1">
      <alignment horizontal="center"/>
    </xf>
    <xf numFmtId="0" fontId="22" fillId="13" borderId="7" xfId="0" applyFont="1" applyFill="1" applyBorder="1" applyAlignment="1">
      <alignment horizontal="center" vertical="center"/>
    </xf>
    <xf numFmtId="0" fontId="22" fillId="11" borderId="8" xfId="0" applyFont="1" applyFill="1" applyBorder="1" applyAlignment="1">
      <alignment horizontal="center" vertical="center"/>
    </xf>
    <xf numFmtId="0" fontId="22" fillId="11" borderId="9" xfId="0" applyFont="1" applyFill="1" applyBorder="1" applyAlignment="1">
      <alignment horizontal="center" vertical="center"/>
    </xf>
    <xf numFmtId="0" fontId="23" fillId="14" borderId="10" xfId="0" applyFont="1" applyFill="1" applyBorder="1" applyAlignment="1">
      <alignment vertical="center"/>
    </xf>
    <xf numFmtId="0" fontId="23" fillId="14" borderId="8" xfId="0" applyFont="1" applyFill="1" applyBorder="1" applyAlignment="1">
      <alignment vertical="center"/>
    </xf>
    <xf numFmtId="0" fontId="23" fillId="14" borderId="8" xfId="0" applyFont="1" applyFill="1" applyBorder="1" applyAlignment="1">
      <alignment horizontal="left" vertical="center"/>
    </xf>
    <xf numFmtId="0" fontId="23" fillId="14" borderId="11" xfId="0" applyFont="1" applyFill="1" applyBorder="1" applyAlignment="1">
      <alignment horizontal="left" vertical="center"/>
    </xf>
    <xf numFmtId="0" fontId="24" fillId="15" borderId="12" xfId="0" applyFont="1" applyFill="1" applyBorder="1" applyAlignment="1">
      <alignment horizontal="center" vertical="center"/>
    </xf>
    <xf numFmtId="0" fontId="24" fillId="15" borderId="8" xfId="0" applyFont="1" applyFill="1" applyBorder="1" applyAlignment="1">
      <alignment horizontal="center" vertical="center"/>
    </xf>
    <xf numFmtId="0" fontId="24" fillId="15" borderId="9" xfId="0" applyFont="1" applyFill="1" applyBorder="1" applyAlignment="1">
      <alignment horizontal="center" vertical="center"/>
    </xf>
    <xf numFmtId="0" fontId="23" fillId="9" borderId="8" xfId="0" applyFont="1" applyFill="1" applyBorder="1" applyAlignment="1">
      <alignment vertical="center"/>
    </xf>
    <xf numFmtId="0" fontId="25" fillId="16" borderId="8" xfId="0" applyFont="1" applyFill="1" applyBorder="1" applyAlignment="1">
      <alignment horizontal="center" vertical="center"/>
    </xf>
    <xf numFmtId="0" fontId="25" fillId="16" borderId="8" xfId="0" applyFont="1" applyFill="1" applyBorder="1" applyAlignment="1">
      <alignment horizontal="left" vertical="center"/>
    </xf>
    <xf numFmtId="49" fontId="25" fillId="16" borderId="8" xfId="0" applyNumberFormat="1" applyFont="1" applyFill="1" applyBorder="1" applyAlignment="1">
      <alignment horizontal="center" vertical="center"/>
    </xf>
    <xf numFmtId="0" fontId="25" fillId="17" borderId="8" xfId="0" applyFont="1" applyFill="1" applyBorder="1" applyAlignment="1">
      <alignment horizontal="center" vertical="center"/>
    </xf>
    <xf numFmtId="0" fontId="25" fillId="18" borderId="8" xfId="0" applyFont="1" applyFill="1" applyBorder="1" applyAlignment="1">
      <alignment horizontal="center" vertical="center"/>
    </xf>
    <xf numFmtId="0" fontId="24" fillId="10" borderId="12" xfId="0" applyFont="1" applyFill="1" applyBorder="1" applyAlignment="1">
      <alignment horizontal="center" vertical="center"/>
    </xf>
    <xf numFmtId="0" fontId="24" fillId="10" borderId="8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15" fillId="0" borderId="0" xfId="0" applyFont="1"/>
    <xf numFmtId="0" fontId="27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28" fillId="0" borderId="0" xfId="0" applyFont="1"/>
    <xf numFmtId="0" fontId="13" fillId="19" borderId="0" xfId="0" applyFont="1" applyFill="1" applyAlignment="1">
      <alignment horizontal="center" vertical="center" wrapText="1"/>
    </xf>
    <xf numFmtId="0" fontId="29" fillId="20" borderId="13" xfId="0" applyFont="1" applyFill="1" applyBorder="1" applyAlignment="1">
      <alignment horizontal="center" vertical="center" wrapText="1"/>
    </xf>
    <xf numFmtId="0" fontId="29" fillId="13" borderId="13" xfId="0" applyFont="1" applyFill="1" applyBorder="1" applyAlignment="1">
      <alignment horizontal="center" vertical="center" wrapText="1"/>
    </xf>
    <xf numFmtId="9" fontId="0" fillId="0" borderId="0" xfId="1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29" fillId="21" borderId="13" xfId="0" applyFont="1" applyFill="1" applyBorder="1" applyAlignment="1">
      <alignment horizontal="center" vertical="center" wrapText="1"/>
    </xf>
    <xf numFmtId="1" fontId="4" fillId="5" borderId="13" xfId="0" applyNumberFormat="1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/>
    </xf>
    <xf numFmtId="0" fontId="19" fillId="11" borderId="0" xfId="0" applyFont="1" applyFill="1" applyAlignment="1">
      <alignment horizontal="center"/>
    </xf>
    <xf numFmtId="0" fontId="19" fillId="11" borderId="3" xfId="0" applyFont="1" applyFill="1" applyBorder="1" applyAlignment="1">
      <alignment horizontal="center"/>
    </xf>
    <xf numFmtId="0" fontId="19" fillId="11" borderId="4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1" fillId="2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29" fillId="0" borderId="0" xfId="0" applyFont="1" applyBorder="1" applyAlignment="1">
      <alignment vertical="center" wrapText="1"/>
    </xf>
    <xf numFmtId="0" fontId="2" fillId="0" borderId="0" xfId="0" applyFont="1" applyBorder="1"/>
    <xf numFmtId="0" fontId="3" fillId="0" borderId="0" xfId="0" applyFont="1" applyBorder="1" applyAlignment="1">
      <alignment horizontal="center" vertical="center"/>
    </xf>
    <xf numFmtId="21" fontId="30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9" fontId="0" fillId="22" borderId="13" xfId="1" applyFont="1" applyFill="1" applyBorder="1" applyAlignment="1">
      <alignment horizontal="center"/>
    </xf>
    <xf numFmtId="9" fontId="0" fillId="22" borderId="13" xfId="1" applyFont="1" applyFill="1" applyBorder="1" applyAlignment="1">
      <alignment horizontal="center" vertical="center"/>
    </xf>
    <xf numFmtId="9" fontId="0" fillId="22" borderId="13" xfId="1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A1:T124"/>
  <sheetViews>
    <sheetView showGridLines="0" tabSelected="1" zoomScale="85" zoomScaleNormal="85" workbookViewId="0">
      <selection activeCell="C21" sqref="C21"/>
    </sheetView>
  </sheetViews>
  <sheetFormatPr defaultRowHeight="14.7" customHeight="1" outlineLevelRow="1"/>
  <cols>
    <col min="1" max="1" width="4" customWidth="1"/>
    <col min="2" max="2" width="34.88671875" style="1" bestFit="1" customWidth="1"/>
    <col min="3" max="3" width="69.109375" style="2" customWidth="1"/>
    <col min="4" max="4" width="31.44140625" style="1" customWidth="1"/>
    <col min="5" max="5" width="12.6640625" style="1" customWidth="1"/>
    <col min="6" max="6" width="21.6640625" style="1" customWidth="1"/>
    <col min="7" max="7" width="19.88671875" style="1" customWidth="1"/>
    <col min="8" max="8" width="22.6640625" style="1" customWidth="1"/>
    <col min="9" max="10" width="18" style="1" customWidth="1"/>
    <col min="11" max="11" width="1.6640625" customWidth="1"/>
    <col min="12" max="12" width="17.6640625" style="3" customWidth="1"/>
    <col min="13" max="13" width="37.6640625" style="3" customWidth="1"/>
    <col min="14" max="14" width="11.6640625" style="3" customWidth="1"/>
    <col min="15" max="15" width="48.6640625" style="3" customWidth="1"/>
    <col min="16" max="16" width="21.33203125" style="3" customWidth="1"/>
    <col min="17" max="17" width="19.5546875" style="3" customWidth="1"/>
    <col min="18" max="18" width="21.5546875" style="3" customWidth="1"/>
    <col min="19" max="19" width="28.33203125" style="3" customWidth="1"/>
    <col min="20" max="20" width="30.33203125" style="3" customWidth="1"/>
  </cols>
  <sheetData>
    <row r="1" spans="1:20" ht="14.4">
      <c r="A1" s="55"/>
      <c r="B1" s="56"/>
      <c r="C1" s="57"/>
      <c r="D1" s="56"/>
      <c r="E1" s="56"/>
      <c r="F1" s="56"/>
      <c r="G1" s="56"/>
      <c r="H1" s="56"/>
      <c r="I1" s="56"/>
      <c r="J1" s="56"/>
      <c r="K1" s="55"/>
      <c r="L1" s="58"/>
      <c r="M1" s="58"/>
      <c r="N1" s="58"/>
      <c r="O1" s="58"/>
      <c r="P1" s="58"/>
      <c r="Q1" s="58"/>
      <c r="R1" s="58"/>
      <c r="S1" s="58"/>
      <c r="T1" s="58"/>
    </row>
    <row r="2" spans="1:20" ht="28.5" customHeight="1">
      <c r="A2" s="55"/>
      <c r="B2" s="59" t="s">
        <v>155</v>
      </c>
      <c r="C2" s="60"/>
      <c r="D2" s="60"/>
      <c r="E2" s="60"/>
      <c r="F2" s="60"/>
      <c r="G2" s="60"/>
      <c r="H2" s="60"/>
      <c r="I2" s="60"/>
      <c r="J2" s="60"/>
      <c r="K2" s="60"/>
      <c r="L2" s="58"/>
      <c r="M2" s="58"/>
      <c r="N2" s="58"/>
      <c r="O2" s="58"/>
      <c r="P2" s="58"/>
      <c r="Q2" s="58"/>
      <c r="R2" s="58"/>
      <c r="S2" s="58"/>
      <c r="T2" s="58"/>
    </row>
    <row r="3" spans="1:20" ht="14.4">
      <c r="A3" s="55"/>
      <c r="B3" s="60"/>
      <c r="C3" s="60"/>
      <c r="D3" s="60"/>
      <c r="E3" s="60"/>
      <c r="F3" s="60"/>
      <c r="G3" s="60"/>
      <c r="H3" s="60"/>
      <c r="I3" s="60"/>
      <c r="J3" s="60"/>
      <c r="K3" s="60"/>
      <c r="L3" s="58"/>
      <c r="M3" s="58"/>
      <c r="N3" s="58"/>
      <c r="O3" s="58"/>
      <c r="P3" s="58"/>
      <c r="Q3" s="58"/>
      <c r="R3" s="58"/>
      <c r="S3" s="58"/>
      <c r="T3" s="58"/>
    </row>
    <row r="4" spans="1:20" ht="27" customHeight="1">
      <c r="A4" s="55"/>
      <c r="B4" s="63" t="s">
        <v>0</v>
      </c>
      <c r="C4" s="55" t="s">
        <v>165</v>
      </c>
      <c r="D4" s="61"/>
      <c r="E4" s="61"/>
      <c r="F4" s="61"/>
      <c r="G4" s="61"/>
      <c r="H4" s="43" t="s">
        <v>156</v>
      </c>
      <c r="I4" s="44" t="s">
        <v>157</v>
      </c>
      <c r="J4" s="49" t="s">
        <v>158</v>
      </c>
      <c r="K4" s="49"/>
      <c r="M4" s="62"/>
      <c r="N4" s="62"/>
      <c r="O4" s="58"/>
      <c r="P4" s="58"/>
      <c r="Q4" s="58"/>
      <c r="R4" s="58"/>
      <c r="S4" s="58"/>
      <c r="T4" s="58"/>
    </row>
    <row r="5" spans="1:20" ht="14.4" outlineLevel="1" collapsed="1">
      <c r="A5" s="55"/>
      <c r="B5" s="63" t="s">
        <v>4</v>
      </c>
      <c r="C5" s="55" t="s">
        <v>159</v>
      </c>
      <c r="D5" s="56"/>
      <c r="E5" s="56"/>
      <c r="F5" s="56"/>
      <c r="G5" s="56"/>
      <c r="H5" s="81">
        <f>H7/(H7-0)</f>
        <v>1</v>
      </c>
      <c r="I5" s="82">
        <f>I7/H7</f>
        <v>0.92307692307692313</v>
      </c>
      <c r="J5" s="83">
        <f>J7/H7</f>
        <v>7.6923076923076927E-2</v>
      </c>
      <c r="K5" s="83"/>
      <c r="M5" s="45"/>
      <c r="N5" s="45"/>
      <c r="O5" s="58"/>
      <c r="P5" s="58"/>
      <c r="Q5" s="58"/>
      <c r="R5" s="58"/>
      <c r="S5" s="58"/>
      <c r="T5" s="58"/>
    </row>
    <row r="6" spans="1:20" ht="14.4" outlineLevel="1" collapsed="1">
      <c r="A6" s="55"/>
      <c r="B6" s="63" t="s">
        <v>160</v>
      </c>
      <c r="C6" s="65">
        <v>0.37552083333333336</v>
      </c>
      <c r="D6" s="56"/>
      <c r="E6" s="56"/>
      <c r="F6" s="56"/>
      <c r="G6" s="56"/>
      <c r="H6" s="46" t="s">
        <v>1</v>
      </c>
      <c r="I6" s="47" t="s">
        <v>2</v>
      </c>
      <c r="J6" s="48" t="s">
        <v>3</v>
      </c>
      <c r="K6" s="48"/>
      <c r="M6" s="64"/>
      <c r="N6" s="64"/>
      <c r="O6" s="58"/>
      <c r="P6" s="58"/>
      <c r="Q6" s="58"/>
      <c r="R6" s="58"/>
      <c r="S6" s="58"/>
      <c r="T6" s="58"/>
    </row>
    <row r="7" spans="1:20" ht="14.4" customHeight="1" outlineLevel="1" collapsed="1">
      <c r="A7" s="55"/>
      <c r="B7" s="63" t="s">
        <v>161</v>
      </c>
      <c r="C7" s="65">
        <v>0.39149305555555558</v>
      </c>
      <c r="D7" s="56"/>
      <c r="E7" s="56"/>
      <c r="F7" s="56"/>
      <c r="G7" s="56"/>
      <c r="H7" s="76">
        <v>13</v>
      </c>
      <c r="I7" s="76">
        <v>12</v>
      </c>
      <c r="J7" s="50">
        <v>1</v>
      </c>
      <c r="K7" s="50"/>
      <c r="M7" s="64"/>
      <c r="N7" s="64"/>
      <c r="O7" s="58"/>
      <c r="P7" s="58"/>
      <c r="Q7" s="58"/>
      <c r="R7" s="58"/>
      <c r="S7" s="58"/>
      <c r="T7" s="58"/>
    </row>
    <row r="8" spans="1:20" ht="15" customHeight="1" outlineLevel="1" collapsed="1">
      <c r="A8" s="55"/>
      <c r="B8" s="63" t="s">
        <v>162</v>
      </c>
      <c r="C8" s="65">
        <v>1.5972222222222221E-2</v>
      </c>
      <c r="D8" s="56"/>
      <c r="E8" s="56"/>
      <c r="F8" s="56"/>
      <c r="G8" s="56"/>
      <c r="H8" s="77"/>
      <c r="I8" s="77"/>
      <c r="J8" s="50"/>
      <c r="K8" s="50"/>
      <c r="M8" s="66"/>
      <c r="N8" s="66"/>
      <c r="O8" s="58"/>
      <c r="P8" s="58"/>
      <c r="Q8" s="58"/>
      <c r="R8" s="58"/>
      <c r="S8" s="58"/>
      <c r="T8" s="58"/>
    </row>
    <row r="9" spans="1:20" ht="15" customHeight="1" outlineLevel="1" collapsed="1">
      <c r="A9" s="55"/>
      <c r="B9" s="63" t="s">
        <v>5</v>
      </c>
      <c r="C9" s="55" t="s">
        <v>163</v>
      </c>
      <c r="D9" s="56"/>
      <c r="E9" s="56"/>
      <c r="F9" s="56"/>
      <c r="G9" s="56"/>
      <c r="H9" s="77"/>
      <c r="I9" s="77"/>
      <c r="J9" s="50"/>
      <c r="K9" s="50"/>
      <c r="M9" s="66"/>
      <c r="N9" s="66"/>
      <c r="O9" s="58"/>
      <c r="P9" s="58"/>
      <c r="Q9" s="58"/>
      <c r="R9" s="58"/>
      <c r="S9" s="58"/>
      <c r="T9" s="58"/>
    </row>
    <row r="10" spans="1:20" ht="15" customHeight="1" outlineLevel="1" collapsed="1">
      <c r="A10" s="55"/>
      <c r="B10" s="63" t="s">
        <v>6</v>
      </c>
      <c r="C10" s="55" t="s">
        <v>164</v>
      </c>
      <c r="D10" s="56"/>
      <c r="E10" s="56"/>
      <c r="F10" s="56"/>
      <c r="G10" s="56"/>
      <c r="H10" s="78"/>
      <c r="I10" s="78"/>
      <c r="J10" s="50"/>
      <c r="K10" s="50"/>
      <c r="M10" s="66"/>
      <c r="N10" s="66"/>
      <c r="O10" s="58"/>
      <c r="P10" s="58"/>
      <c r="Q10" s="58"/>
      <c r="R10" s="58"/>
      <c r="S10" s="58"/>
      <c r="T10" s="58"/>
    </row>
    <row r="11" spans="1:20" ht="15" customHeight="1" outlineLevel="1">
      <c r="A11" s="55"/>
      <c r="B11" s="63"/>
      <c r="C11" s="55"/>
      <c r="D11" s="56"/>
      <c r="E11" s="56"/>
      <c r="F11" s="56"/>
      <c r="G11" s="56"/>
      <c r="H11" s="79"/>
      <c r="I11" s="79"/>
      <c r="J11" s="80"/>
      <c r="K11" s="80"/>
      <c r="M11" s="66"/>
      <c r="N11" s="66"/>
      <c r="O11" s="58"/>
      <c r="P11" s="58"/>
      <c r="Q11" s="58"/>
      <c r="R11" s="58"/>
      <c r="S11" s="58"/>
      <c r="T11" s="58"/>
    </row>
    <row r="12" spans="1:20" ht="15" customHeight="1">
      <c r="A12" s="55"/>
      <c r="B12" s="84" t="s">
        <v>7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</row>
    <row r="13" spans="1:20" ht="21.45" customHeight="1">
      <c r="A13" s="55"/>
      <c r="B13" s="75"/>
      <c r="C13" s="75"/>
      <c r="D13" s="68" t="s">
        <v>154</v>
      </c>
      <c r="E13" s="68"/>
      <c r="F13" s="68"/>
      <c r="G13" s="68"/>
      <c r="H13" s="68"/>
      <c r="I13" s="68"/>
      <c r="J13" s="68"/>
      <c r="K13" s="69"/>
      <c r="L13" s="68" t="s">
        <v>8</v>
      </c>
      <c r="M13" s="68"/>
      <c r="N13" s="68"/>
      <c r="O13" s="68"/>
      <c r="P13" s="68"/>
      <c r="Q13" s="68"/>
      <c r="R13" s="68"/>
      <c r="S13" s="68"/>
      <c r="T13" s="68"/>
    </row>
    <row r="14" spans="1:20" s="4" customFormat="1" ht="28.95" customHeight="1">
      <c r="A14" s="55"/>
      <c r="B14" s="70" t="s">
        <v>9</v>
      </c>
      <c r="C14" s="70" t="s">
        <v>10</v>
      </c>
      <c r="D14" s="71" t="s">
        <v>150</v>
      </c>
      <c r="E14" s="71" t="s">
        <v>11</v>
      </c>
      <c r="F14" s="71" t="s">
        <v>151</v>
      </c>
      <c r="G14" s="71" t="s">
        <v>152</v>
      </c>
      <c r="H14" s="71" t="s">
        <v>128</v>
      </c>
      <c r="I14" s="71" t="s">
        <v>149</v>
      </c>
      <c r="J14" s="71" t="s">
        <v>153</v>
      </c>
      <c r="K14" s="72"/>
      <c r="L14" s="73" t="s">
        <v>37</v>
      </c>
      <c r="M14" s="74" t="s">
        <v>39</v>
      </c>
      <c r="N14" s="74" t="s">
        <v>15</v>
      </c>
      <c r="O14" s="73" t="s">
        <v>18</v>
      </c>
      <c r="P14" s="74" t="s">
        <v>77</v>
      </c>
      <c r="Q14" s="74" t="s">
        <v>63</v>
      </c>
      <c r="R14" s="74" t="s">
        <v>62</v>
      </c>
      <c r="S14" s="74" t="s">
        <v>53</v>
      </c>
      <c r="T14" s="74" t="s">
        <v>54</v>
      </c>
    </row>
    <row r="15" spans="1:20" ht="14.4">
      <c r="A15" s="55"/>
    </row>
    <row r="16" spans="1:20" ht="14.4">
      <c r="A16" s="67"/>
    </row>
    <row r="17" ht="14.4"/>
    <row r="18" ht="14.4"/>
    <row r="19" ht="14.4"/>
    <row r="20" ht="14.4"/>
    <row r="21" ht="14.4"/>
    <row r="22" ht="14.4"/>
    <row r="23" ht="14.4"/>
    <row r="24" ht="14.4"/>
    <row r="25" ht="14.4"/>
    <row r="26" ht="14.4"/>
    <row r="27" ht="14.4"/>
    <row r="28" ht="14.4"/>
    <row r="29" ht="14.4"/>
    <row r="30" ht="14.4"/>
    <row r="31" ht="14.4"/>
    <row r="32" ht="14.4"/>
    <row r="33" ht="14.4"/>
    <row r="34" ht="14.4"/>
    <row r="35" ht="14.4"/>
    <row r="36" ht="14.4"/>
    <row r="37" ht="14.4"/>
    <row r="38" ht="14.4"/>
    <row r="39" ht="14.4"/>
    <row r="40" ht="14.4"/>
    <row r="41" ht="14.4"/>
    <row r="42" ht="14.4"/>
    <row r="43" ht="14.4"/>
    <row r="44" ht="14.4"/>
    <row r="45" ht="14.4"/>
    <row r="46" ht="14.4"/>
    <row r="47" ht="14.4"/>
    <row r="48" ht="14.4"/>
    <row r="49" ht="14.4"/>
    <row r="50" ht="14.4"/>
    <row r="51" ht="14.4"/>
    <row r="52" ht="14.4"/>
    <row r="53" ht="14.4"/>
    <row r="54" ht="14.4"/>
    <row r="55" ht="14.4"/>
    <row r="56" ht="14.4"/>
    <row r="57" ht="14.4"/>
    <row r="58" ht="14.4"/>
    <row r="59" ht="14.4"/>
    <row r="60" ht="14.4"/>
    <row r="61" ht="14.4"/>
    <row r="62" ht="14.4"/>
    <row r="63" ht="14.4"/>
    <row r="64" ht="14.4"/>
    <row r="65" ht="14.4"/>
    <row r="66" ht="14.4"/>
    <row r="67" ht="14.4"/>
    <row r="68" ht="14.4"/>
    <row r="69" ht="14.4"/>
    <row r="70" ht="14.4"/>
    <row r="71" ht="14.4"/>
    <row r="72" ht="14.4"/>
    <row r="73" ht="14.4"/>
    <row r="74" ht="14.4"/>
    <row r="75" ht="14.4"/>
    <row r="76" ht="14.4"/>
    <row r="77" ht="14.4"/>
    <row r="78" ht="14.4"/>
    <row r="79" ht="14.4"/>
    <row r="80" ht="14.4"/>
    <row r="81" ht="14.4"/>
    <row r="82" ht="14.4"/>
    <row r="83" ht="14.4"/>
    <row r="84" ht="14.4"/>
    <row r="85" ht="14.4"/>
    <row r="86" ht="14.4"/>
    <row r="87" ht="14.4"/>
    <row r="88" ht="14.4"/>
    <row r="89" ht="14.4"/>
    <row r="90" ht="14.4"/>
    <row r="91" ht="14.4"/>
    <row r="92" ht="14.4"/>
    <row r="93" ht="14.4"/>
    <row r="94" ht="14.4"/>
    <row r="95" ht="14.4"/>
    <row r="96" ht="14.4"/>
    <row r="97" ht="14.4"/>
    <row r="98" ht="14.4"/>
    <row r="99" ht="14.4"/>
    <row r="100" ht="14.4"/>
    <row r="101" ht="14.4"/>
    <row r="102" ht="14.4"/>
    <row r="103" ht="14.4"/>
    <row r="104" ht="14.4"/>
    <row r="105" ht="14.4"/>
    <row r="106" ht="14.4"/>
    <row r="107" ht="14.4"/>
    <row r="108" ht="14.4"/>
    <row r="109" ht="14.4"/>
    <row r="110" ht="14.4"/>
    <row r="111" ht="14.4"/>
    <row r="112" ht="14.4"/>
    <row r="113" ht="14.4"/>
    <row r="114" ht="14.4"/>
    <row r="115" ht="14.4"/>
    <row r="116" ht="14.4"/>
    <row r="117" ht="14.4"/>
    <row r="118" ht="14.4"/>
    <row r="119" ht="14.4"/>
    <row r="120" ht="14.4"/>
    <row r="121" ht="14.4"/>
    <row r="122" ht="14.4"/>
    <row r="123" ht="14.4"/>
    <row r="124" ht="14.4"/>
  </sheetData>
  <mergeCells count="11">
    <mergeCell ref="J4:K4"/>
    <mergeCell ref="J6:K6"/>
    <mergeCell ref="J7:K10"/>
    <mergeCell ref="J5:K5"/>
    <mergeCell ref="B12:T12"/>
    <mergeCell ref="H7:H10"/>
    <mergeCell ref="I7:I10"/>
    <mergeCell ref="D13:J13"/>
    <mergeCell ref="L13:T13"/>
    <mergeCell ref="B2:K3"/>
    <mergeCell ref="M6:N7"/>
  </mergeCells>
  <pageMargins left="0.7" right="0.7" top="0.75" bottom="0.75" header="0.3" footer="0.3"/>
  <pageSetup paperSize="9" fitToHeight="0" orientation="landscape" useFirstPageNumber="1" horizontalDpi="4294967295" verticalDpi="4294967295"/>
  <headerFooter>
    <oddFooter>Compare source: DS_PTX_Compare_Result_20260716_095754.xlsx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D615-FD6F-400E-BAD1-695E8041768F}">
  <sheetPr codeName="Sheet2">
    <tabColor rgb="FFFFFF00"/>
  </sheetPr>
  <dimension ref="A1:AC1"/>
  <sheetViews>
    <sheetView workbookViewId="0">
      <pane ySplit="1" topLeftCell="A2" activePane="bottomLeft" state="frozen"/>
      <selection pane="bottomLeft" activeCell="C18" sqref="C18"/>
    </sheetView>
  </sheetViews>
  <sheetFormatPr defaultRowHeight="14.4"/>
  <cols>
    <col min="1" max="1" width="18" customWidth="1"/>
    <col min="2" max="2" width="15" customWidth="1"/>
    <col min="3" max="3" width="70" customWidth="1"/>
    <col min="4" max="5" width="14" customWidth="1"/>
    <col min="6" max="6" width="32" customWidth="1"/>
    <col min="7" max="8" width="31" customWidth="1"/>
    <col min="9" max="9" width="17" customWidth="1"/>
    <col min="10" max="10" width="26" customWidth="1"/>
    <col min="11" max="11" width="25" customWidth="1"/>
    <col min="12" max="14" width="14" customWidth="1"/>
    <col min="15" max="16" width="32" customWidth="1"/>
    <col min="17" max="17" width="20" customWidth="1"/>
    <col min="18" max="18" width="15" customWidth="1"/>
    <col min="19" max="19" width="20" customWidth="1"/>
    <col min="20" max="20" width="18" customWidth="1"/>
    <col min="21" max="21" width="23" customWidth="1"/>
    <col min="22" max="22" width="25" customWidth="1"/>
    <col min="23" max="23" width="30" customWidth="1"/>
    <col min="24" max="24" width="23" customWidth="1"/>
    <col min="25" max="25" width="28" customWidth="1"/>
    <col min="26" max="26" width="30" customWidth="1"/>
    <col min="27" max="27" width="32" customWidth="1"/>
    <col min="28" max="28" width="31" customWidth="1"/>
    <col min="29" max="30" width="32" customWidth="1"/>
    <col min="31" max="31" width="22" customWidth="1"/>
    <col min="32" max="32" width="20" customWidth="1"/>
    <col min="33" max="33" width="25" customWidth="1"/>
    <col min="34" max="34" width="32" customWidth="1"/>
    <col min="35" max="35" width="22" customWidth="1"/>
    <col min="36" max="36" width="28" customWidth="1"/>
    <col min="37" max="37" width="26" customWidth="1"/>
    <col min="38" max="38" width="24" customWidth="1"/>
    <col min="39" max="39" width="22" customWidth="1"/>
    <col min="40" max="40" width="29" customWidth="1"/>
    <col min="41" max="41" width="32" customWidth="1"/>
    <col min="42" max="42" width="30" customWidth="1"/>
    <col min="43" max="46" width="32" customWidth="1"/>
    <col min="47" max="47" width="30" customWidth="1"/>
    <col min="48" max="49" width="32" customWidth="1"/>
    <col min="50" max="50" width="25" customWidth="1"/>
    <col min="51" max="51" width="28" customWidth="1"/>
    <col min="52" max="52" width="32" customWidth="1"/>
    <col min="53" max="53" width="14" customWidth="1"/>
    <col min="54" max="54" width="19" customWidth="1"/>
    <col min="55" max="55" width="22" customWidth="1"/>
    <col min="56" max="56" width="27" customWidth="1"/>
    <col min="57" max="57" width="17" customWidth="1"/>
    <col min="58" max="58" width="24" customWidth="1"/>
    <col min="59" max="60" width="26" customWidth="1"/>
    <col min="61" max="61" width="27" customWidth="1"/>
    <col min="62" max="62" width="17" customWidth="1"/>
    <col min="63" max="63" width="25" customWidth="1"/>
    <col min="64" max="64" width="30" customWidth="1"/>
    <col min="65" max="65" width="15" customWidth="1"/>
  </cols>
  <sheetData>
    <row r="1" spans="1:29" ht="25.5" customHeight="1">
      <c r="A1" s="42" t="s">
        <v>13</v>
      </c>
      <c r="B1" s="42" t="s">
        <v>130</v>
      </c>
      <c r="C1" s="42" t="s">
        <v>29</v>
      </c>
      <c r="D1" s="42" t="s">
        <v>131</v>
      </c>
      <c r="E1" s="42" t="s">
        <v>132</v>
      </c>
      <c r="F1" s="42" t="s">
        <v>127</v>
      </c>
      <c r="G1" s="42" t="s">
        <v>133</v>
      </c>
      <c r="H1" s="42" t="s">
        <v>134</v>
      </c>
      <c r="I1" s="42" t="s">
        <v>135</v>
      </c>
      <c r="J1" s="42" t="s">
        <v>136</v>
      </c>
      <c r="K1" s="42" t="s">
        <v>137</v>
      </c>
      <c r="L1" s="42" t="s">
        <v>138</v>
      </c>
      <c r="M1" s="42" t="s">
        <v>11</v>
      </c>
      <c r="N1" s="42" t="s">
        <v>139</v>
      </c>
      <c r="O1" s="42" t="s">
        <v>140</v>
      </c>
      <c r="P1" s="42" t="s">
        <v>141</v>
      </c>
      <c r="Q1" s="42" t="s">
        <v>142</v>
      </c>
      <c r="R1" s="42" t="s">
        <v>143</v>
      </c>
      <c r="S1" s="42" t="s">
        <v>144</v>
      </c>
      <c r="T1" s="42" t="s">
        <v>145</v>
      </c>
      <c r="U1" s="42" t="s">
        <v>27</v>
      </c>
      <c r="V1" s="42" t="s">
        <v>146</v>
      </c>
      <c r="W1" s="42" t="s">
        <v>28</v>
      </c>
      <c r="X1" s="42" t="s">
        <v>147</v>
      </c>
      <c r="Y1" s="42" t="s">
        <v>12</v>
      </c>
      <c r="Z1" s="42" t="s">
        <v>148</v>
      </c>
      <c r="AA1" s="42" t="s">
        <v>128</v>
      </c>
      <c r="AB1" s="42" t="s">
        <v>149</v>
      </c>
      <c r="AC1" s="42" t="s">
        <v>129</v>
      </c>
    </row>
  </sheetData>
  <autoFilter ref="A1:AC1" xr:uid="{1F98D615-FD6F-400E-BAD1-695E8041768F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602-052C-4615-B202-20507170DD7D}">
  <sheetPr codeName="Sheet3">
    <tabColor rgb="FF92D050"/>
  </sheetPr>
  <dimension ref="A1"/>
  <sheetViews>
    <sheetView zoomScaleNormal="100" workbookViewId="0">
      <pane ySplit="1" topLeftCell="A2" activePane="bottomLeft" state="frozen"/>
      <selection pane="bottomLeft" activeCell="F15" sqref="F15"/>
    </sheetView>
  </sheetViews>
  <sheetFormatPr defaultRowHeight="14.4"/>
  <cols>
    <col min="1" max="1" width="10.44140625" customWidth="1"/>
    <col min="2" max="2" width="9.6640625" customWidth="1"/>
    <col min="3" max="3" width="32.33203125" customWidth="1"/>
    <col min="4" max="4" width="27.88671875" customWidth="1"/>
    <col min="5" max="5" width="25.109375" customWidth="1"/>
    <col min="6" max="6" width="13.33203125" customWidth="1"/>
    <col min="7" max="7" width="22.33203125" customWidth="1"/>
    <col min="8" max="8" width="22.6640625" customWidth="1"/>
    <col min="9" max="9" width="16.6640625" customWidth="1"/>
    <col min="10" max="10" width="10.6640625" customWidth="1"/>
    <col min="11" max="11" width="38.6640625" customWidth="1"/>
    <col min="12" max="12" width="28.44140625" customWidth="1"/>
    <col min="13" max="13" width="34.33203125" customWidth="1"/>
    <col min="14" max="14" width="16.33203125" customWidth="1"/>
    <col min="15" max="15" width="11.33203125" customWidth="1"/>
    <col min="16" max="16" width="22.6640625" customWidth="1"/>
    <col min="17" max="17" width="16.6640625" customWidth="1"/>
    <col min="18" max="18" width="22.44140625" customWidth="1"/>
    <col min="19" max="19" width="21.44140625" customWidth="1"/>
    <col min="20" max="20" width="27.33203125" customWidth="1"/>
    <col min="21" max="21" width="19" customWidth="1"/>
    <col min="22" max="22" width="24.6640625" customWidth="1"/>
    <col min="23" max="23" width="25.44140625" customWidth="1"/>
    <col min="24" max="24" width="62" customWidth="1"/>
    <col min="25" max="25" width="27.109375" customWidth="1"/>
    <col min="26" max="26" width="62.44140625" customWidth="1"/>
    <col min="27" max="27" width="39.6640625" customWidth="1"/>
    <col min="28" max="28" width="19" customWidth="1"/>
    <col min="29" max="29" width="18.33203125" customWidth="1"/>
    <col min="30" max="30" width="24.109375" customWidth="1"/>
    <col min="31" max="31" width="34.6640625" customWidth="1"/>
    <col min="32" max="32" width="19.33203125" customWidth="1"/>
    <col min="33" max="33" width="26.6640625" customWidth="1"/>
    <col min="34" max="34" width="23.6640625" customWidth="1"/>
    <col min="35" max="35" width="22.33203125" customWidth="1"/>
    <col min="36" max="36" width="18" customWidth="1"/>
    <col min="37" max="37" width="26.5546875" customWidth="1"/>
    <col min="38" max="38" width="33.88671875" customWidth="1"/>
    <col min="39" max="39" width="56.44140625" customWidth="1"/>
    <col min="40" max="40" width="32.33203125" customWidth="1"/>
    <col min="41" max="41" width="38.33203125" customWidth="1"/>
    <col min="42" max="42" width="36.33203125" customWidth="1"/>
    <col min="43" max="43" width="42.109375" customWidth="1"/>
    <col min="44" max="44" width="24.33203125" customWidth="1"/>
    <col min="45" max="45" width="36.109375" customWidth="1"/>
    <col min="46" max="46" width="41.88671875" customWidth="1"/>
    <col min="47" max="47" width="23.33203125" customWidth="1"/>
    <col min="48" max="48" width="25.33203125" customWidth="1"/>
    <col min="49" max="49" width="31" customWidth="1"/>
    <col min="50" max="50" width="11.6640625" customWidth="1"/>
    <col min="51" max="51" width="17.5546875" customWidth="1"/>
    <col min="52" max="52" width="17.44140625" customWidth="1"/>
    <col min="53" max="53" width="23.33203125" customWidth="1"/>
    <col min="54" max="54" width="12.6640625" customWidth="1"/>
    <col min="55" max="55" width="19.5546875" customWidth="1"/>
    <col min="56" max="56" width="22.33203125" customWidth="1"/>
    <col min="57" max="57" width="20.33203125" customWidth="1"/>
    <col min="58" max="58" width="22.6640625" customWidth="1"/>
    <col min="59" max="59" width="13.6640625" customWidth="1"/>
    <col min="60" max="60" width="21" customWidth="1"/>
    <col min="61" max="61" width="26.6640625" customWidth="1"/>
    <col min="62" max="62" width="11.332031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BDF0-4CD6-4DC9-A51E-23CFBBE19352}">
  <sheetPr codeName="Sheet4">
    <tabColor theme="9" tint="-0.249977111117893"/>
  </sheetPr>
  <dimension ref="A1:DB11"/>
  <sheetViews>
    <sheetView topLeftCell="AO1" zoomScaleNormal="100" workbookViewId="0">
      <selection activeCell="C14" sqref="C14"/>
    </sheetView>
  </sheetViews>
  <sheetFormatPr defaultRowHeight="16.5" customHeight="1"/>
  <cols>
    <col min="1" max="1" width="4.109375" customWidth="1"/>
    <col min="2" max="2" width="13.44140625" customWidth="1"/>
    <col min="3" max="3" width="35.109375" customWidth="1"/>
    <col min="4" max="4" width="9.33203125" customWidth="1"/>
    <col min="5" max="5" width="8.6640625" customWidth="1"/>
    <col min="6" max="6" width="32.44140625" customWidth="1"/>
    <col min="7" max="7" width="11.5546875" customWidth="1"/>
    <col min="8" max="8" width="18" customWidth="1"/>
    <col min="9" max="9" width="8.109375" customWidth="1"/>
    <col min="10" max="10" width="11" customWidth="1"/>
    <col min="12" max="12" width="13" customWidth="1"/>
    <col min="13" max="13" width="11.33203125" customWidth="1"/>
    <col min="14" max="14" width="21.33203125" customWidth="1"/>
    <col min="15" max="15" width="19.6640625" customWidth="1"/>
    <col min="16" max="16" width="27.44140625" customWidth="1"/>
    <col min="17" max="17" width="25.109375" customWidth="1"/>
    <col min="18" max="18" width="11" customWidth="1"/>
    <col min="19" max="19" width="21.6640625" customWidth="1"/>
    <col min="20" max="20" width="12.5546875" customWidth="1"/>
    <col min="21" max="21" width="31.109375" customWidth="1"/>
    <col min="22" max="22" width="16.44140625" customWidth="1"/>
    <col min="23" max="23" width="25.33203125" customWidth="1"/>
    <col min="24" max="24" width="8.44140625" customWidth="1"/>
    <col min="25" max="25" width="15.33203125" customWidth="1"/>
    <col min="26" max="26" width="14.6640625" customWidth="1"/>
    <col min="27" max="27" width="15.33203125" customWidth="1"/>
    <col min="28" max="28" width="16.6640625" customWidth="1"/>
    <col min="29" max="29" width="19.44140625" customWidth="1"/>
    <col min="30" max="30" width="24.5546875" customWidth="1"/>
    <col min="31" max="31" width="24" customWidth="1"/>
    <col min="32" max="32" width="27.6640625" customWidth="1"/>
    <col min="33" max="33" width="17.33203125" customWidth="1"/>
    <col min="34" max="34" width="18.33203125" customWidth="1"/>
    <col min="35" max="35" width="24" customWidth="1"/>
    <col min="36" max="36" width="16.33203125" customWidth="1"/>
    <col min="37" max="37" width="18" customWidth="1"/>
    <col min="38" max="38" width="27.44140625" customWidth="1"/>
    <col min="39" max="39" width="21.33203125" customWidth="1"/>
    <col min="40" max="40" width="15.33203125" customWidth="1"/>
    <col min="41" max="41" width="29" customWidth="1"/>
    <col min="42" max="42" width="22" customWidth="1"/>
    <col min="43" max="43" width="8.109375" customWidth="1"/>
    <col min="44" max="44" width="11" customWidth="1"/>
    <col min="45" max="45" width="14.33203125" customWidth="1"/>
    <col min="46" max="46" width="23.33203125" customWidth="1"/>
    <col min="47" max="47" width="23.109375" customWidth="1"/>
    <col min="48" max="48" width="17.44140625" customWidth="1"/>
    <col min="49" max="49" width="14.109375" customWidth="1"/>
    <col min="50" max="50" width="18.6640625" customWidth="1"/>
    <col min="51" max="51" width="23.33203125" customWidth="1"/>
    <col min="52" max="52" width="24.6640625" customWidth="1"/>
    <col min="53" max="55" width="12.5546875" customWidth="1"/>
    <col min="56" max="56" width="25.33203125" customWidth="1"/>
    <col min="57" max="57" width="22.33203125" customWidth="1"/>
    <col min="58" max="58" width="13.44140625" customWidth="1"/>
    <col min="59" max="59" width="15.109375" customWidth="1"/>
    <col min="60" max="60" width="13.33203125" customWidth="1"/>
    <col min="61" max="61" width="14.33203125" customWidth="1"/>
    <col min="62" max="62" width="15.33203125" customWidth="1"/>
    <col min="63" max="63" width="17.6640625" customWidth="1"/>
    <col min="64" max="64" width="12.5546875" customWidth="1"/>
    <col min="65" max="65" width="27.33203125" customWidth="1"/>
    <col min="66" max="66" width="24.33203125" customWidth="1"/>
    <col min="67" max="73" width="12.5546875" customWidth="1"/>
    <col min="74" max="74" width="27.33203125" customWidth="1"/>
    <col min="75" max="75" width="24.33203125" customWidth="1"/>
    <col min="76" max="87" width="12.5546875" customWidth="1"/>
    <col min="88" max="88" width="15.6640625" customWidth="1"/>
    <col min="89" max="95" width="12.5546875" customWidth="1"/>
    <col min="96" max="96" width="15.6640625" customWidth="1"/>
    <col min="97" max="97" width="17.6640625" customWidth="1"/>
    <col min="98" max="98" width="19.5546875" customWidth="1"/>
  </cols>
  <sheetData>
    <row r="1" spans="1:106" s="6" customFormat="1" ht="29.25" customHeight="1">
      <c r="A1" s="5" t="s">
        <v>30</v>
      </c>
    </row>
    <row r="2" spans="1:106" ht="6.75" customHeight="1"/>
    <row r="3" spans="1:106" s="10" customFormat="1" ht="14.4">
      <c r="A3" s="7" t="s">
        <v>31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8">
        <v>26</v>
      </c>
      <c r="AB3" s="8">
        <v>27</v>
      </c>
      <c r="AC3" s="9">
        <v>28</v>
      </c>
      <c r="AD3" s="9">
        <v>29</v>
      </c>
      <c r="AE3" s="8">
        <v>30</v>
      </c>
      <c r="AF3" s="9">
        <v>31</v>
      </c>
      <c r="AG3" s="8">
        <v>32</v>
      </c>
      <c r="AH3" s="8">
        <v>33</v>
      </c>
      <c r="AI3" s="8">
        <v>34</v>
      </c>
      <c r="AJ3" s="8">
        <v>35</v>
      </c>
      <c r="AK3" s="8">
        <v>36</v>
      </c>
      <c r="AL3" s="8">
        <v>37</v>
      </c>
      <c r="AM3" s="8">
        <v>38</v>
      </c>
      <c r="AN3" s="8">
        <v>39</v>
      </c>
      <c r="AO3" s="8">
        <v>40</v>
      </c>
      <c r="AP3" s="8">
        <v>41</v>
      </c>
      <c r="AQ3" s="8">
        <v>42</v>
      </c>
      <c r="AR3" s="8">
        <v>43</v>
      </c>
      <c r="AS3" s="8">
        <v>44</v>
      </c>
      <c r="AT3" s="8">
        <v>45</v>
      </c>
      <c r="AU3" s="8">
        <v>46</v>
      </c>
      <c r="AV3" s="8">
        <v>47</v>
      </c>
      <c r="AW3" s="8">
        <v>48</v>
      </c>
      <c r="AX3" s="8">
        <v>49</v>
      </c>
      <c r="AY3" s="9">
        <v>50</v>
      </c>
      <c r="AZ3" s="9">
        <v>51</v>
      </c>
      <c r="BA3" s="8">
        <v>52</v>
      </c>
      <c r="BB3" s="8">
        <v>53</v>
      </c>
      <c r="BC3" s="8">
        <v>54</v>
      </c>
      <c r="BD3" s="8">
        <v>55</v>
      </c>
      <c r="BE3" s="8">
        <v>56</v>
      </c>
      <c r="BF3" s="8">
        <v>57</v>
      </c>
      <c r="BG3" s="8">
        <v>58</v>
      </c>
      <c r="BH3" s="8">
        <v>59</v>
      </c>
      <c r="BI3" s="8">
        <v>60</v>
      </c>
      <c r="BJ3" s="8">
        <v>61</v>
      </c>
      <c r="BK3" s="8">
        <v>62</v>
      </c>
      <c r="BL3" s="8">
        <v>63</v>
      </c>
      <c r="BM3" s="8">
        <v>64</v>
      </c>
      <c r="BN3" s="8">
        <v>65</v>
      </c>
      <c r="BO3" s="8">
        <v>66</v>
      </c>
      <c r="BP3" s="8">
        <v>67</v>
      </c>
      <c r="BQ3" s="8">
        <v>68</v>
      </c>
      <c r="BR3" s="8">
        <v>69</v>
      </c>
      <c r="BS3" s="8">
        <v>70</v>
      </c>
      <c r="BT3" s="8">
        <v>71</v>
      </c>
      <c r="BU3" s="8">
        <v>72</v>
      </c>
      <c r="BV3" s="8">
        <v>73</v>
      </c>
      <c r="BW3" s="8">
        <v>74</v>
      </c>
      <c r="BX3" s="8">
        <v>75</v>
      </c>
      <c r="BY3" s="8">
        <v>76</v>
      </c>
      <c r="BZ3" s="8">
        <v>77</v>
      </c>
      <c r="CA3" s="8">
        <v>78</v>
      </c>
      <c r="CB3" s="8">
        <v>79</v>
      </c>
      <c r="CC3" s="8">
        <v>80</v>
      </c>
      <c r="CD3" s="8">
        <v>81</v>
      </c>
      <c r="CE3" s="8">
        <v>82</v>
      </c>
      <c r="CF3" s="8">
        <v>83</v>
      </c>
      <c r="CG3" s="8">
        <v>84</v>
      </c>
      <c r="CH3" s="8">
        <v>85</v>
      </c>
      <c r="CI3" s="8">
        <v>86</v>
      </c>
      <c r="CJ3" s="8">
        <v>87</v>
      </c>
      <c r="CK3" s="8">
        <v>88</v>
      </c>
      <c r="CL3" s="8">
        <v>89</v>
      </c>
      <c r="CM3" s="8">
        <v>90</v>
      </c>
      <c r="CN3" s="8">
        <v>91</v>
      </c>
      <c r="CO3" s="8">
        <v>92</v>
      </c>
      <c r="CP3" s="8">
        <v>93</v>
      </c>
      <c r="CQ3" s="8">
        <v>94</v>
      </c>
      <c r="CR3" s="8">
        <v>95</v>
      </c>
      <c r="CS3" s="8">
        <v>96</v>
      </c>
      <c r="CT3" s="8">
        <v>97</v>
      </c>
      <c r="CU3" s="8">
        <v>98</v>
      </c>
    </row>
    <row r="4" spans="1:106" s="11" customFormat="1" ht="14.7" customHeight="1">
      <c r="N4" s="51" t="s">
        <v>32</v>
      </c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3"/>
      <c r="AH4" s="12" t="s">
        <v>33</v>
      </c>
      <c r="AI4" s="12"/>
      <c r="AJ4" s="12"/>
      <c r="AK4" s="13" t="s">
        <v>34</v>
      </c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5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6" t="s">
        <v>35</v>
      </c>
      <c r="CT4" s="17"/>
      <c r="CU4" s="17"/>
      <c r="CW4" s="54" t="s">
        <v>36</v>
      </c>
      <c r="CX4" s="54"/>
      <c r="CY4" s="54"/>
      <c r="CZ4" s="54"/>
      <c r="DA4" s="54"/>
      <c r="DB4" s="54"/>
    </row>
    <row r="5" spans="1:106" s="36" customFormat="1" ht="18.75" customHeight="1">
      <c r="A5" s="18"/>
      <c r="B5" s="19" t="s">
        <v>37</v>
      </c>
      <c r="C5" s="19" t="s">
        <v>14</v>
      </c>
      <c r="D5" s="19" t="s">
        <v>15</v>
      </c>
      <c r="E5" s="19" t="s">
        <v>38</v>
      </c>
      <c r="F5" s="19" t="s">
        <v>39</v>
      </c>
      <c r="G5" s="19" t="s">
        <v>40</v>
      </c>
      <c r="H5" s="19" t="s">
        <v>41</v>
      </c>
      <c r="I5" s="19" t="s">
        <v>42</v>
      </c>
      <c r="J5" s="19" t="s">
        <v>43</v>
      </c>
      <c r="K5" s="19" t="s">
        <v>44</v>
      </c>
      <c r="L5" s="19" t="s">
        <v>45</v>
      </c>
      <c r="M5" s="20" t="s">
        <v>46</v>
      </c>
      <c r="N5" s="21" t="s">
        <v>16</v>
      </c>
      <c r="O5" s="22" t="s">
        <v>47</v>
      </c>
      <c r="P5" s="22" t="s">
        <v>48</v>
      </c>
      <c r="Q5" s="22" t="s">
        <v>49</v>
      </c>
      <c r="R5" s="22" t="s">
        <v>50</v>
      </c>
      <c r="S5" s="22" t="s">
        <v>17</v>
      </c>
      <c r="T5" s="22" t="s">
        <v>51</v>
      </c>
      <c r="U5" s="23" t="s">
        <v>52</v>
      </c>
      <c r="V5" s="23" t="s">
        <v>53</v>
      </c>
      <c r="W5" s="23" t="s">
        <v>54</v>
      </c>
      <c r="X5" s="22" t="s">
        <v>55</v>
      </c>
      <c r="Y5" s="22" t="s">
        <v>56</v>
      </c>
      <c r="Z5" s="23" t="s">
        <v>57</v>
      </c>
      <c r="AA5" s="23" t="s">
        <v>18</v>
      </c>
      <c r="AB5" s="22" t="s">
        <v>58</v>
      </c>
      <c r="AC5" s="22" t="s">
        <v>19</v>
      </c>
      <c r="AD5" s="22" t="s">
        <v>20</v>
      </c>
      <c r="AE5" s="22" t="s">
        <v>59</v>
      </c>
      <c r="AF5" s="23" t="s">
        <v>60</v>
      </c>
      <c r="AG5" s="24" t="s">
        <v>61</v>
      </c>
      <c r="AH5" s="25" t="s">
        <v>62</v>
      </c>
      <c r="AI5" s="26" t="s">
        <v>63</v>
      </c>
      <c r="AJ5" s="27" t="s">
        <v>64</v>
      </c>
      <c r="AK5" s="21" t="s">
        <v>65</v>
      </c>
      <c r="AL5" s="22" t="s">
        <v>66</v>
      </c>
      <c r="AM5" s="22" t="s">
        <v>67</v>
      </c>
      <c r="AN5" s="22" t="s">
        <v>68</v>
      </c>
      <c r="AO5" s="22" t="s">
        <v>69</v>
      </c>
      <c r="AP5" s="28" t="s">
        <v>70</v>
      </c>
      <c r="AQ5" s="28" t="s">
        <v>71</v>
      </c>
      <c r="AR5" s="28" t="s">
        <v>72</v>
      </c>
      <c r="AS5" s="23" t="s">
        <v>73</v>
      </c>
      <c r="AT5" s="23" t="s">
        <v>74</v>
      </c>
      <c r="AU5" s="23" t="s">
        <v>75</v>
      </c>
      <c r="AV5" s="22" t="s">
        <v>76</v>
      </c>
      <c r="AW5" s="22" t="s">
        <v>77</v>
      </c>
      <c r="AX5" s="23" t="s">
        <v>78</v>
      </c>
      <c r="AY5" s="23" t="s">
        <v>79</v>
      </c>
      <c r="AZ5" s="23" t="s">
        <v>80</v>
      </c>
      <c r="BA5" s="24" t="s">
        <v>81</v>
      </c>
      <c r="BB5" s="29" t="s">
        <v>21</v>
      </c>
      <c r="BC5" s="29" t="s">
        <v>82</v>
      </c>
      <c r="BD5" s="30" t="s">
        <v>22</v>
      </c>
      <c r="BE5" s="30" t="s">
        <v>83</v>
      </c>
      <c r="BF5" s="29" t="s">
        <v>84</v>
      </c>
      <c r="BG5" s="31" t="s">
        <v>85</v>
      </c>
      <c r="BH5" s="29" t="s">
        <v>86</v>
      </c>
      <c r="BI5" s="29" t="s">
        <v>23</v>
      </c>
      <c r="BJ5" s="29" t="s">
        <v>87</v>
      </c>
      <c r="BK5" s="32" t="s">
        <v>24</v>
      </c>
      <c r="BL5" s="32" t="s">
        <v>88</v>
      </c>
      <c r="BM5" s="32" t="s">
        <v>25</v>
      </c>
      <c r="BN5" s="32" t="s">
        <v>89</v>
      </c>
      <c r="BO5" s="32" t="s">
        <v>90</v>
      </c>
      <c r="BP5" s="32" t="s">
        <v>91</v>
      </c>
      <c r="BQ5" s="32" t="s">
        <v>92</v>
      </c>
      <c r="BR5" s="32" t="s">
        <v>93</v>
      </c>
      <c r="BS5" s="32" t="s">
        <v>26</v>
      </c>
      <c r="BT5" s="29" t="s">
        <v>94</v>
      </c>
      <c r="BU5" s="29" t="s">
        <v>95</v>
      </c>
      <c r="BV5" s="29" t="s">
        <v>96</v>
      </c>
      <c r="BW5" s="29" t="s">
        <v>97</v>
      </c>
      <c r="BX5" s="29" t="s">
        <v>98</v>
      </c>
      <c r="BY5" s="29" t="s">
        <v>99</v>
      </c>
      <c r="BZ5" s="29" t="s">
        <v>100</v>
      </c>
      <c r="CA5" s="29" t="s">
        <v>101</v>
      </c>
      <c r="CB5" s="29" t="s">
        <v>102</v>
      </c>
      <c r="CC5" s="32" t="s">
        <v>103</v>
      </c>
      <c r="CD5" s="32" t="s">
        <v>104</v>
      </c>
      <c r="CE5" s="32" t="s">
        <v>105</v>
      </c>
      <c r="CF5" s="32" t="s">
        <v>106</v>
      </c>
      <c r="CG5" s="32" t="s">
        <v>107</v>
      </c>
      <c r="CH5" s="32" t="s">
        <v>108</v>
      </c>
      <c r="CI5" s="32" t="s">
        <v>109</v>
      </c>
      <c r="CJ5" s="32" t="s">
        <v>110</v>
      </c>
      <c r="CK5" s="33" t="s">
        <v>111</v>
      </c>
      <c r="CL5" s="33" t="s">
        <v>112</v>
      </c>
      <c r="CM5" s="33" t="s">
        <v>113</v>
      </c>
      <c r="CN5" s="33" t="s">
        <v>114</v>
      </c>
      <c r="CO5" s="33" t="s">
        <v>115</v>
      </c>
      <c r="CP5" s="33" t="s">
        <v>116</v>
      </c>
      <c r="CQ5" s="33" t="s">
        <v>117</v>
      </c>
      <c r="CR5" s="33" t="s">
        <v>118</v>
      </c>
      <c r="CS5" s="34" t="s">
        <v>119</v>
      </c>
      <c r="CT5" s="35" t="s">
        <v>120</v>
      </c>
      <c r="CU5" s="35" t="s">
        <v>29</v>
      </c>
      <c r="CW5" s="37" t="s">
        <v>121</v>
      </c>
      <c r="CX5" s="37" t="s">
        <v>122</v>
      </c>
      <c r="CY5" s="37" t="s">
        <v>123</v>
      </c>
      <c r="CZ5" s="37" t="s">
        <v>124</v>
      </c>
      <c r="DA5" s="37" t="s">
        <v>125</v>
      </c>
      <c r="DB5" s="37" t="s">
        <v>126</v>
      </c>
    </row>
    <row r="6" spans="1:106" ht="14.4"/>
    <row r="7" spans="1:106" ht="14.4">
      <c r="C7" s="38"/>
      <c r="D7" s="38"/>
      <c r="E7" s="38"/>
      <c r="F7" s="38"/>
      <c r="G7" s="38"/>
      <c r="BB7" s="38"/>
      <c r="BC7" s="39"/>
      <c r="BD7" s="39"/>
      <c r="BE7" s="38"/>
      <c r="BF7" s="38"/>
      <c r="BG7" s="38"/>
    </row>
    <row r="8" spans="1:106" ht="14.4">
      <c r="C8" s="40"/>
      <c r="D8" s="38"/>
      <c r="E8" s="38"/>
      <c r="F8" s="38"/>
      <c r="G8" s="38"/>
      <c r="BB8" s="38"/>
      <c r="BC8" s="38"/>
      <c r="BD8" s="39"/>
      <c r="BE8" s="38"/>
      <c r="BF8" s="38"/>
      <c r="BG8" s="38"/>
    </row>
    <row r="9" spans="1:106" ht="14.4">
      <c r="C9" s="40"/>
      <c r="D9" s="41"/>
      <c r="E9" s="38"/>
      <c r="F9" s="38"/>
      <c r="G9" s="38"/>
      <c r="BB9" s="38"/>
      <c r="BC9" s="38"/>
      <c r="BD9" s="38"/>
      <c r="BE9" s="38"/>
      <c r="BF9" s="38"/>
      <c r="BG9" s="38"/>
    </row>
    <row r="10" spans="1:106" ht="14.4">
      <c r="C10" s="38"/>
      <c r="D10" s="38"/>
      <c r="E10" s="38"/>
      <c r="F10" s="38"/>
      <c r="G10" s="38"/>
      <c r="BB10" s="38"/>
      <c r="BC10" s="38"/>
      <c r="BD10" s="38"/>
      <c r="BE10" s="38"/>
      <c r="BF10" s="38"/>
      <c r="BG10" s="38"/>
    </row>
    <row r="11" spans="1:106" ht="14.4">
      <c r="C11" s="38"/>
      <c r="D11" s="38"/>
      <c r="E11" s="38"/>
      <c r="F11" s="38"/>
      <c r="G11" s="38"/>
    </row>
  </sheetData>
  <mergeCells count="2">
    <mergeCell ref="N4:AG4"/>
    <mergeCell ref="CW4:D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DF_FXM_Summary Result</vt:lpstr>
      <vt:lpstr>DF_FXM_Reconcile</vt:lpstr>
      <vt:lpstr>DF_FXM</vt:lpstr>
      <vt:lpstr>Test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2026-05-10T18:11:47Z</dcterms:created>
  <dcterms:modified xsi:type="dcterms:W3CDTF">2026-08-18T09:40:05Z</dcterms:modified>
  <cp:category/>
  <cp:contentStatus/>
</cp:coreProperties>
</file>