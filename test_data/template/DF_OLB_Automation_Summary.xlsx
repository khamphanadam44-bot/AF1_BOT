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259" documentId="8_{135E3321-2B5A-4F74-A3E1-AA01D1EDE02D}" xr6:coauthVersionLast="47" xr6:coauthVersionMax="47" xr10:uidLastSave="{433B87FB-1664-4F1D-A78E-E1135774821D}"/>
  <bookViews>
    <workbookView xWindow="28680" yWindow="-120" windowWidth="20730" windowHeight="11040" xr2:uid="{00000000-000D-0000-FFFF-FFFF00000000}"/>
  </bookViews>
  <sheets>
    <sheet name="DF_OLB_Summary Result" sheetId="2" r:id="rId1"/>
    <sheet name="DF_OLB_Reconcile" sheetId="5" r:id="rId2"/>
    <sheet name="DF_OLB" sheetId="4" r:id="rId3"/>
    <sheet name="Test Data" sheetId="6" r:id="rId4"/>
  </sheets>
  <definedNames>
    <definedName name="_xlnm._FilterDatabase" localSheetId="2" hidden="1">DF_OLB!$A$1:$BJ$1</definedName>
    <definedName name="_xlnm._FilterDatabase" localSheetId="1" hidden="1">DF_OLB_Reconcile!$A$1:$AC$1</definedName>
    <definedName name="_xlnm._FilterDatabase">DF_OLB!$A$1:$BJ$1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I5" i="2"/>
  <c r="H5" i="2"/>
</calcChain>
</file>

<file path=xl/sharedStrings.xml><?xml version="1.0" encoding="utf-8"?>
<sst xmlns="http://schemas.openxmlformats.org/spreadsheetml/2006/main" count="253" uniqueCount="187">
  <si>
    <t>Report File Name:</t>
  </si>
  <si>
    <t>TOTAL CHECKED</t>
  </si>
  <si>
    <t>PASSED/MATCH</t>
  </si>
  <si>
    <t>FAILED/UNMATCH</t>
  </si>
  <si>
    <t>Execution Date:</t>
  </si>
  <si>
    <t>Run ID:</t>
  </si>
  <si>
    <t>Verified By:</t>
  </si>
  <si>
    <t>SUMMARY DETAILS</t>
  </si>
  <si>
    <t>Test Script Data</t>
  </si>
  <si>
    <t>Test Result</t>
  </si>
  <si>
    <t>Reason</t>
  </si>
  <si>
    <t>Data Set Date</t>
  </si>
  <si>
    <t>Currency Id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</si>
  <si>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</si>
  <si>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</si>
  <si>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</si>
  <si>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</si>
  <si>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</si>
  <si>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</si>
  <si>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</si>
  <si>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</si>
  <si>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</si>
  <si>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</si>
  <si>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</si>
  <si>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Type 2</t>
  </si>
  <si>
    <t>Fee Charge Account No. Type 2</t>
  </si>
  <si>
    <t>Fee Currency 2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</si>
  <si>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</si>
  <si>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</si>
  <si>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</si>
  <si>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</si>
  <si>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</si>
  <si>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</si>
  <si>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</si>
  <si>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</si>
  <si>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</si>
  <si>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</si>
  <si>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</si>
  <si>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</si>
  <si>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</si>
  <si>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</si>
  <si>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</si>
  <si>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</si>
  <si>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</si>
  <si>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</si>
  <si>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</si>
  <si>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</si>
  <si>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</si>
  <si>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</si>
  <si>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</si>
  <si>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</si>
  <si>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</si>
  <si>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</si>
  <si>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</si>
  <si>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</si>
  <si>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</si>
  <si>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</si>
  <si>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</si>
  <si>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</si>
  <si>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</si>
  <si>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</si>
  <si>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</si>
  <si>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</si>
  <si>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</si>
  <si>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</si>
  <si>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</si>
  <si>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</si>
  <si>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</si>
  <si>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</si>
  <si>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</si>
  <si>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</si>
  <si>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</si>
  <si>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</si>
  <si>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</si>
  <si>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</si>
  <si>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</si>
  <si>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</si>
  <si>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</si>
  <si>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</si>
  <si>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</si>
  <si>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</si>
  <si>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</si>
  <si>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</si>
  <si>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</si>
  <si>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</si>
  <si>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</si>
  <si>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</si>
  <si>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</si>
  <si>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</si>
  <si>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</si>
  <si>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</si>
  <si>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</si>
  <si>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</si>
  <si>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</si>
  <si>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</si>
  <si>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</si>
  <si>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</si>
  <si>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</si>
  <si>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</si>
  <si>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</si>
  <si>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</si>
  <si>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</si>
  <si>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</si>
  <si>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</si>
  <si>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</si>
  <si>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</si>
  <si>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</si>
  <si>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</si>
  <si>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</si>
  <si>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</si>
  <si>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</si>
  <si>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</si>
  <si>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</si>
  <si>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</si>
  <si>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</si>
  <si>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</si>
  <si>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</si>
  <si>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</si>
  <si>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</si>
  <si>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</si>
  <si>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</si>
  <si>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</si>
  <si>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</si>
  <si>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</si>
  <si>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</si>
  <si>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Leg Type</t>
  </si>
  <si>
    <t>Cust Code</t>
  </si>
  <si>
    <t>CMF CODE</t>
  </si>
  <si>
    <t>Cust Name</t>
  </si>
  <si>
    <t>FX Arrangement Type</t>
  </si>
  <si>
    <t>FX Arrangement Type Name</t>
  </si>
  <si>
    <t>Currency Id Name</t>
  </si>
  <si>
    <t>Leg Type Name</t>
  </si>
  <si>
    <t>DF-OLB AUTOMATION VERIFICATION SUMMARY</t>
  </si>
  <si>
    <t>DS_OLB</t>
  </si>
  <si>
    <t>FI Arrangement Number</t>
  </si>
  <si>
    <t>Arrangement Contract Date</t>
  </si>
  <si>
    <t>THB Outstanding Amount</t>
  </si>
  <si>
    <t>DEPT CODE</t>
  </si>
  <si>
    <t>Effective Date</t>
  </si>
  <si>
    <t>Maturity Date</t>
  </si>
  <si>
    <t>Primary Involved Party Id</t>
  </si>
  <si>
    <t>Primary Involved Party Unique Id Type</t>
  </si>
  <si>
    <t>Primary Involved Party Unique Id Type Name</t>
  </si>
  <si>
    <t>Primary Involved Party Name</t>
  </si>
  <si>
    <t>Primary Involved Party Type</t>
  </si>
  <si>
    <t>Primary Involved Party Type Name</t>
  </si>
  <si>
    <t>Country of Non-Resident</t>
  </si>
  <si>
    <t>Country of Non-Resident Name</t>
  </si>
  <si>
    <t>Arrangement Type</t>
  </si>
  <si>
    <t>Arrangement Type Name</t>
  </si>
  <si>
    <t>Related FI Arrangement Number</t>
  </si>
  <si>
    <t>Customer Investment Type</t>
  </si>
  <si>
    <t>Customer Investment Type Name</t>
  </si>
  <si>
    <t>Investment Description</t>
  </si>
  <si>
    <t>FX Arrangement Description</t>
  </si>
  <si>
    <t>Index Involvement Type</t>
  </si>
  <si>
    <t>Index Involvement Type Name</t>
  </si>
  <si>
    <t>Payment Interest Rate Type</t>
  </si>
  <si>
    <t>Payment Interest Rate Type Name</t>
  </si>
  <si>
    <t>Received Interest Rate Type</t>
  </si>
  <si>
    <t>Received Interest Rate Type Name</t>
  </si>
  <si>
    <t>Investor Type</t>
  </si>
  <si>
    <t>Investor Type Name</t>
  </si>
  <si>
    <t>Underlying Currency Id</t>
  </si>
  <si>
    <t>Underlying Currency Id Name</t>
  </si>
  <si>
    <t>Underlying Purpose Type</t>
  </si>
  <si>
    <t>Underlying Purpose Type Name</t>
  </si>
  <si>
    <t>Underlying Customer Investment Type</t>
  </si>
  <si>
    <t>Underlying Customer Investment Type Name</t>
  </si>
  <si>
    <t>Underlying Purpose Description</t>
  </si>
  <si>
    <t>Underlying Local Company Name</t>
  </si>
  <si>
    <t>Name of NR Beneficiary</t>
  </si>
  <si>
    <t>Transaction Objective Type</t>
  </si>
  <si>
    <t>Transaction Objective Type Name</t>
  </si>
  <si>
    <t>Non-FX Arrangement Type</t>
  </si>
  <si>
    <t>Non-FX Arrangement Type Name</t>
  </si>
  <si>
    <t>ACTUAL 
(Execution %)</t>
  </si>
  <si>
    <t>PASSED
(Pass Rate %)</t>
  </si>
  <si>
    <t>FAILED 
(Fail Rate%)</t>
  </si>
  <si>
    <t>2026-07-21</t>
  </si>
  <si>
    <t xml:space="preserve">Actual Execution Time Start : </t>
  </si>
  <si>
    <t>Actual Execution Time End:</t>
  </si>
  <si>
    <t>Duration Time:</t>
  </si>
  <si>
    <t>RUN_20260721_092700</t>
  </si>
  <si>
    <t>QAD Automation</t>
  </si>
  <si>
    <t>DF_OLB_Summary_Test Results_20260721_092700.xlsx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</si>
</sst>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2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53935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5">
    <xf numFmtId="0" fontId="0" fillId="0" borderId="0" xfId="0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11" borderId="0" xfId="0" applyFont="1" applyFill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6" fillId="0" borderId="0" xfId="0" applyFont="1" applyAlignment="1">
      <alignment horizontal="center"/>
    </xf>
    <xf numFmtId="0" fontId="19" fillId="0" borderId="0" xfId="0" applyFont="1"/>
    <xf numFmtId="0" fontId="21" fillId="12" borderId="4" xfId="0" applyFont="1" applyFill="1" applyBorder="1"/>
    <xf numFmtId="0" fontId="20" fillId="11" borderId="5" xfId="0" applyFont="1" applyFill="1" applyBorder="1"/>
    <xf numFmtId="0" fontId="20" fillId="11" borderId="4" xfId="0" applyFont="1" applyFill="1" applyBorder="1"/>
    <xf numFmtId="0" fontId="20" fillId="11" borderId="6" xfId="0" applyFont="1" applyFill="1" applyBorder="1"/>
    <xf numFmtId="0" fontId="22" fillId="11" borderId="5" xfId="0" applyFont="1" applyFill="1" applyBorder="1" applyAlignment="1">
      <alignment horizontal="center"/>
    </xf>
    <xf numFmtId="0" fontId="22" fillId="11" borderId="4" xfId="0" applyFont="1" applyFill="1" applyBorder="1" applyAlignment="1">
      <alignment horizontal="center"/>
    </xf>
    <xf numFmtId="0" fontId="24" fillId="14" borderId="8" xfId="0" applyFont="1" applyFill="1" applyBorder="1" applyAlignment="1">
      <alignment vertical="center"/>
    </xf>
    <xf numFmtId="0" fontId="16" fillId="0" borderId="0" xfId="0" applyFont="1"/>
    <xf numFmtId="0" fontId="2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29" fillId="0" borderId="0" xfId="0" applyFont="1"/>
    <xf numFmtId="0" fontId="14" fillId="19" borderId="0" xfId="0" applyFont="1" applyFill="1" applyAlignment="1">
      <alignment horizontal="center" vertical="center" wrapText="1"/>
    </xf>
    <xf numFmtId="0" fontId="12" fillId="20" borderId="0" xfId="0" applyFont="1" applyFill="1" applyAlignment="1">
      <alignment horizontal="center" vertical="center" wrapText="1"/>
    </xf>
    <xf numFmtId="0" fontId="13" fillId="2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13" borderId="7" xfId="0" applyFont="1" applyFill="1" applyBorder="1" applyAlignment="1">
      <alignment horizontal="center" vertical="center" wrapText="1"/>
    </xf>
    <xf numFmtId="0" fontId="23" fillId="11" borderId="8" xfId="0" applyFont="1" applyFill="1" applyBorder="1" applyAlignment="1">
      <alignment horizontal="center" vertical="center" wrapText="1"/>
    </xf>
    <xf numFmtId="0" fontId="23" fillId="11" borderId="9" xfId="0" applyFont="1" applyFill="1" applyBorder="1" applyAlignment="1">
      <alignment horizontal="center" vertical="center" wrapText="1"/>
    </xf>
    <xf numFmtId="0" fontId="24" fillId="14" borderId="10" xfId="0" applyFont="1" applyFill="1" applyBorder="1" applyAlignment="1">
      <alignment vertical="center" wrapText="1"/>
    </xf>
    <xf numFmtId="0" fontId="24" fillId="14" borderId="8" xfId="0" applyFont="1" applyFill="1" applyBorder="1" applyAlignment="1">
      <alignment vertical="center" wrapText="1"/>
    </xf>
    <xf numFmtId="0" fontId="24" fillId="14" borderId="8" xfId="0" applyFont="1" applyFill="1" applyBorder="1" applyAlignment="1">
      <alignment horizontal="left" vertical="center" wrapText="1"/>
    </xf>
    <xf numFmtId="0" fontId="24" fillId="14" borderId="11" xfId="0" applyFont="1" applyFill="1" applyBorder="1" applyAlignment="1">
      <alignment horizontal="left" vertical="center" wrapText="1"/>
    </xf>
    <xf numFmtId="0" fontId="25" fillId="15" borderId="12" xfId="0" applyFont="1" applyFill="1" applyBorder="1" applyAlignment="1">
      <alignment horizontal="center" vertical="center" wrapText="1"/>
    </xf>
    <xf numFmtId="0" fontId="25" fillId="15" borderId="8" xfId="0" applyFont="1" applyFill="1" applyBorder="1" applyAlignment="1">
      <alignment horizontal="center" vertical="center" wrapText="1"/>
    </xf>
    <xf numFmtId="0" fontId="25" fillId="15" borderId="9" xfId="0" applyFont="1" applyFill="1" applyBorder="1" applyAlignment="1">
      <alignment horizontal="center" vertical="center" wrapText="1"/>
    </xf>
    <xf numFmtId="0" fontId="24" fillId="9" borderId="8" xfId="0" applyFont="1" applyFill="1" applyBorder="1" applyAlignment="1">
      <alignment vertical="center" wrapText="1"/>
    </xf>
    <xf numFmtId="0" fontId="26" fillId="16" borderId="8" xfId="0" applyFont="1" applyFill="1" applyBorder="1" applyAlignment="1">
      <alignment horizontal="center" vertical="center" wrapText="1"/>
    </xf>
    <xf numFmtId="0" fontId="26" fillId="16" borderId="8" xfId="0" applyFont="1" applyFill="1" applyBorder="1" applyAlignment="1">
      <alignment horizontal="left" vertical="center" wrapText="1"/>
    </xf>
    <xf numFmtId="49" fontId="26" fillId="16" borderId="8" xfId="0" applyNumberFormat="1" applyFont="1" applyFill="1" applyBorder="1" applyAlignment="1">
      <alignment horizontal="center" vertical="center" wrapText="1"/>
    </xf>
    <xf numFmtId="0" fontId="26" fillId="17" borderId="8" xfId="0" applyFont="1" applyFill="1" applyBorder="1" applyAlignment="1">
      <alignment horizontal="center" vertical="center" wrapText="1"/>
    </xf>
    <xf numFmtId="0" fontId="26" fillId="18" borderId="8" xfId="0" applyFont="1" applyFill="1" applyBorder="1" applyAlignment="1">
      <alignment horizontal="center" vertical="center" wrapText="1"/>
    </xf>
    <xf numFmtId="0" fontId="25" fillId="10" borderId="12" xfId="0" applyFont="1" applyFill="1" applyBorder="1" applyAlignment="1">
      <alignment horizontal="center" vertical="center" wrapText="1"/>
    </xf>
    <xf numFmtId="0" fontId="25" fillId="10" borderId="8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7" fillId="0" borderId="8" xfId="0" applyFont="1" applyBorder="1" applyAlignment="1">
      <alignment horizontal="center" vertical="center" wrapText="1"/>
    </xf>
    <xf numFmtId="0" fontId="31" fillId="22" borderId="13" xfId="0" applyFont="1" applyFill="1" applyBorder="1" applyAlignment="1">
      <alignment horizontal="center" vertical="center" wrapText="1"/>
    </xf>
    <xf numFmtId="0" fontId="31" fillId="23" borderId="13" xfId="0" applyFont="1" applyFill="1" applyBorder="1" applyAlignment="1">
      <alignment horizontal="center" vertical="center" wrapText="1"/>
    </xf>
    <xf numFmtId="9" fontId="0" fillId="0" borderId="13" xfId="1" applyFont="1" applyBorder="1" applyAlignment="1">
      <alignment horizontal="center"/>
    </xf>
    <xf numFmtId="9" fontId="0" fillId="0" borderId="13" xfId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0" fontId="20" fillId="11" borderId="2" xfId="0" applyFont="1" applyFill="1" applyBorder="1" applyAlignment="1">
      <alignment horizontal="center"/>
    </xf>
    <xf numFmtId="0" fontId="20" fillId="11" borderId="0" xfId="0" applyFont="1" applyFill="1" applyAlignment="1">
      <alignment horizontal="center"/>
    </xf>
    <xf numFmtId="0" fontId="20" fillId="11" borderId="3" xfId="0" applyFont="1" applyFill="1" applyBorder="1" applyAlignment="1">
      <alignment horizontal="center"/>
    </xf>
    <xf numFmtId="0" fontId="20" fillId="11" borderId="4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vertical="center"/>
    </xf>
    <xf numFmtId="0" fontId="31" fillId="13" borderId="1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2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2" fillId="0" borderId="0" xfId="0" applyFont="1" applyBorder="1"/>
    <xf numFmtId="21" fontId="32" fillId="0" borderId="0" xfId="0" applyNumberFormat="1" applyFont="1" applyBorder="1" applyAlignment="1">
      <alignment horizontal="left"/>
    </xf>
    <xf numFmtId="0" fontId="3" fillId="0" borderId="0" xfId="0" applyFont="1" applyBorder="1"/>
    <xf numFmtId="0" fontId="5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T124"/>
  <sheetViews>
    <sheetView showGridLines="0" tabSelected="1" zoomScale="80" zoomScaleNormal="80" workbookViewId="0">
      <pane ySplit="14" topLeftCell="A21" activePane="bottomLeft" state="frozen"/>
      <selection pane="bottomLeft" activeCell="D13" sqref="D13:H13"/>
    </sheetView>
  </sheetViews>
  <sheetFormatPr defaultRowHeight="14.4" customHeight="1" outlineLevelRow="1"/>
  <cols>
    <col min="1" max="1" width="4" style="62" customWidth="1"/>
    <col min="2" max="2" width="27.21875" style="59" bestFit="1" customWidth="1"/>
    <col min="3" max="3" width="69.109375" style="60" customWidth="1"/>
    <col min="4" max="4" width="31.44140625" style="59" customWidth="1"/>
    <col min="5" max="5" width="13.88671875" style="59" customWidth="1"/>
    <col min="6" max="6" width="21.88671875" style="59" customWidth="1"/>
    <col min="7" max="7" width="19.88671875" style="59" customWidth="1"/>
    <col min="8" max="8" width="22.6640625" style="59" customWidth="1"/>
    <col min="9" max="9" width="3.6640625" style="59" customWidth="1"/>
    <col min="10" max="10" width="20.33203125" style="59" customWidth="1"/>
    <col min="11" max="11" width="21.6640625" style="59" customWidth="1"/>
    <col min="12" max="12" width="21" style="61" customWidth="1"/>
    <col min="13" max="13" width="15.5546875" style="61" customWidth="1"/>
    <col min="14" max="15" width="31.88671875" style="61" customWidth="1"/>
    <col min="16" max="16" width="22.88671875" style="61" customWidth="1"/>
    <col min="17" max="17" width="19.5546875" style="61" customWidth="1"/>
    <col min="18" max="18" width="21.5546875" style="61" customWidth="1"/>
    <col min="19" max="19" width="23.5546875" style="61" customWidth="1"/>
    <col min="20" max="20" width="26.109375" style="61" customWidth="1"/>
    <col min="21" max="16384" width="8.88671875" style="62"/>
  </cols>
  <sheetData>
    <row r="1" spans="2:20"/>
    <row r="2" spans="2:20" ht="28.5" customHeight="1">
      <c r="B2" s="63" t="s">
        <v>133</v>
      </c>
      <c r="C2" s="64"/>
      <c r="D2" s="64"/>
      <c r="E2" s="64"/>
      <c r="F2" s="64"/>
      <c r="G2" s="64"/>
      <c r="H2" s="64"/>
      <c r="I2" s="64"/>
      <c r="J2" s="64"/>
      <c r="K2" s="64"/>
    </row>
    <row r="3" spans="2:20"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2:20" ht="36.75" customHeight="1" outlineLevel="1" collapsed="1">
      <c r="B4" s="65" t="s">
        <v>0</v>
      </c>
      <c r="C4" s="62" t="s">
        <v>186</v>
      </c>
      <c r="D4" s="62"/>
      <c r="E4" s="62"/>
      <c r="F4" s="62"/>
      <c r="G4" s="62"/>
      <c r="H4" s="42" t="s">
        <v>177</v>
      </c>
      <c r="I4" s="58" t="s">
        <v>178</v>
      </c>
      <c r="J4" s="58"/>
      <c r="K4" s="43" t="s">
        <v>179</v>
      </c>
      <c r="N4" s="62"/>
      <c r="O4" s="62"/>
      <c r="P4" s="62"/>
      <c r="Q4" s="62"/>
      <c r="R4" s="62"/>
      <c r="S4" s="62"/>
      <c r="T4" s="62"/>
    </row>
    <row r="5" spans="2:20" ht="15" customHeight="1" outlineLevel="1">
      <c r="B5" s="65" t="s">
        <v>4</v>
      </c>
      <c r="C5" s="62" t="s">
        <v>180</v>
      </c>
      <c r="D5" s="62"/>
      <c r="E5" s="62"/>
      <c r="F5" s="62"/>
      <c r="G5" s="62"/>
      <c r="H5" s="44">
        <f>H7/(H7-0)</f>
        <v>1</v>
      </c>
      <c r="I5" s="49">
        <f>I7/H7</f>
        <v>0.92307692307692313</v>
      </c>
      <c r="J5" s="49"/>
      <c r="K5" s="45">
        <f>K7/H7</f>
        <v>7.6923076923076927E-2</v>
      </c>
      <c r="N5" s="62"/>
      <c r="O5" s="62"/>
      <c r="P5" s="62"/>
      <c r="Q5" s="62"/>
      <c r="R5" s="62"/>
      <c r="S5" s="62"/>
      <c r="T5" s="62"/>
    </row>
    <row r="6" spans="2:20" ht="15" customHeight="1" outlineLevel="1" collapsed="1">
      <c r="B6" s="65" t="s">
        <v>181</v>
      </c>
      <c r="C6" s="66">
        <v>0.37552083333333336</v>
      </c>
      <c r="D6" s="62"/>
      <c r="E6" s="62"/>
      <c r="F6" s="62"/>
      <c r="G6" s="62"/>
      <c r="H6" s="46" t="s">
        <v>1</v>
      </c>
      <c r="I6" s="48" t="s">
        <v>2</v>
      </c>
      <c r="J6" s="48"/>
      <c r="K6" s="57" t="s">
        <v>3</v>
      </c>
      <c r="N6" s="62"/>
      <c r="O6" s="62"/>
      <c r="P6" s="62"/>
      <c r="Q6" s="62"/>
      <c r="R6" s="62"/>
      <c r="S6" s="62"/>
      <c r="T6" s="62"/>
    </row>
    <row r="7" spans="2:20" ht="15" customHeight="1" outlineLevel="1" collapsed="1">
      <c r="B7" s="65" t="s">
        <v>182</v>
      </c>
      <c r="C7" s="66">
        <v>0.39149305555555558</v>
      </c>
      <c r="D7" s="62"/>
      <c r="E7" s="62"/>
      <c r="F7" s="62"/>
      <c r="G7" s="62"/>
      <c r="H7" s="47">
        <v>13</v>
      </c>
      <c r="I7" s="47">
        <v>12</v>
      </c>
      <c r="J7" s="47"/>
      <c r="K7" s="54">
        <v>1</v>
      </c>
      <c r="N7" s="62"/>
      <c r="O7" s="62"/>
      <c r="P7" s="62"/>
      <c r="Q7" s="62"/>
      <c r="R7" s="62"/>
      <c r="S7" s="62"/>
      <c r="T7" s="62"/>
    </row>
    <row r="8" spans="2:20" ht="15" customHeight="1" outlineLevel="1">
      <c r="B8" s="65" t="s">
        <v>183</v>
      </c>
      <c r="C8" s="66">
        <v>1.5972222222222221E-2</v>
      </c>
      <c r="D8" s="62"/>
      <c r="E8" s="62"/>
      <c r="F8" s="62"/>
      <c r="G8" s="62"/>
      <c r="H8" s="47"/>
      <c r="I8" s="47"/>
      <c r="J8" s="47"/>
      <c r="K8" s="55"/>
      <c r="N8" s="62"/>
      <c r="O8" s="62"/>
      <c r="P8" s="62"/>
      <c r="Q8" s="62"/>
      <c r="R8" s="62"/>
      <c r="S8" s="62"/>
      <c r="T8" s="62"/>
    </row>
    <row r="9" spans="2:20" ht="15" customHeight="1" outlineLevel="1">
      <c r="B9" s="65" t="s">
        <v>5</v>
      </c>
      <c r="C9" s="62" t="s">
        <v>184</v>
      </c>
      <c r="D9" s="62"/>
      <c r="E9" s="62"/>
      <c r="F9" s="62"/>
      <c r="G9" s="62"/>
      <c r="H9" s="47"/>
      <c r="I9" s="47"/>
      <c r="J9" s="47"/>
      <c r="K9" s="55"/>
      <c r="N9" s="62"/>
      <c r="O9" s="62"/>
      <c r="P9" s="62"/>
      <c r="Q9" s="62"/>
      <c r="R9" s="62"/>
      <c r="S9" s="62"/>
      <c r="T9" s="62"/>
    </row>
    <row r="10" spans="2:20" ht="15" customHeight="1" outlineLevel="1" collapsed="1">
      <c r="B10" s="65" t="s">
        <v>6</v>
      </c>
      <c r="C10" s="62" t="s">
        <v>185</v>
      </c>
      <c r="D10" s="62"/>
      <c r="E10" s="62"/>
      <c r="F10" s="62"/>
      <c r="G10" s="62"/>
      <c r="H10" s="47"/>
      <c r="I10" s="47"/>
      <c r="J10" s="47"/>
      <c r="K10" s="56"/>
      <c r="N10" s="62"/>
      <c r="O10" s="62"/>
      <c r="P10" s="62"/>
      <c r="Q10" s="62"/>
      <c r="R10" s="62"/>
      <c r="S10" s="62"/>
      <c r="T10" s="62"/>
    </row>
    <row r="11" spans="2:20" ht="15" customHeight="1" outlineLevel="1" collapsed="1"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2:20" ht="21.9" customHeight="1">
      <c r="B12" s="80" t="s">
        <v>7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2"/>
      <c r="Q12" s="67"/>
      <c r="R12" s="67"/>
      <c r="S12" s="67"/>
      <c r="T12" s="67"/>
    </row>
    <row r="13" spans="2:20" ht="21.6" customHeight="1">
      <c r="B13" s="83"/>
      <c r="C13" s="84"/>
      <c r="D13" s="78" t="s">
        <v>134</v>
      </c>
      <c r="E13" s="78"/>
      <c r="F13" s="78"/>
      <c r="G13" s="78"/>
      <c r="H13" s="79"/>
      <c r="I13" s="71"/>
      <c r="J13" s="72" t="s">
        <v>8</v>
      </c>
      <c r="K13" s="72"/>
      <c r="L13" s="72"/>
      <c r="M13" s="72"/>
      <c r="N13" s="72"/>
      <c r="O13" s="72"/>
      <c r="P13" s="72"/>
      <c r="Q13" s="68"/>
      <c r="R13" s="68"/>
      <c r="S13" s="68"/>
      <c r="T13" s="68"/>
    </row>
    <row r="14" spans="2:20" s="70" customFormat="1" ht="29.1" customHeight="1">
      <c r="B14" s="73" t="s">
        <v>9</v>
      </c>
      <c r="C14" s="73" t="s">
        <v>10</v>
      </c>
      <c r="D14" s="74" t="s">
        <v>135</v>
      </c>
      <c r="E14" s="74" t="s">
        <v>136</v>
      </c>
      <c r="F14" s="74" t="s">
        <v>126</v>
      </c>
      <c r="G14" s="74" t="s">
        <v>128</v>
      </c>
      <c r="H14" s="74" t="s">
        <v>137</v>
      </c>
      <c r="I14" s="71"/>
      <c r="J14" s="75" t="s">
        <v>13</v>
      </c>
      <c r="K14" s="76" t="s">
        <v>14</v>
      </c>
      <c r="L14" s="75" t="s">
        <v>37</v>
      </c>
      <c r="M14" s="75" t="s">
        <v>15</v>
      </c>
      <c r="N14" s="76" t="s">
        <v>16</v>
      </c>
      <c r="O14" s="76" t="s">
        <v>45</v>
      </c>
      <c r="P14" s="77" t="s">
        <v>78</v>
      </c>
      <c r="Q14" s="69"/>
      <c r="R14" s="69"/>
    </row>
    <row r="15" spans="2:20"/>
    <row r="16" spans="2:20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</sheetData>
  <mergeCells count="10">
    <mergeCell ref="D13:H13"/>
    <mergeCell ref="I6:J6"/>
    <mergeCell ref="I7:J10"/>
    <mergeCell ref="K7:K10"/>
    <mergeCell ref="B12:P12"/>
    <mergeCell ref="J13:P13"/>
    <mergeCell ref="B2:K3"/>
    <mergeCell ref="H7:H10"/>
    <mergeCell ref="I4:J4"/>
    <mergeCell ref="I5:J5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BC1"/>
  <sheetViews>
    <sheetView workbookViewId="0">
      <pane ySplit="1" topLeftCell="A2" activePane="bottomLeft" state="frozen"/>
      <selection pane="bottomLeft" activeCell="C12" sqref="C12"/>
    </sheetView>
  </sheetViews>
  <sheetFormatPr defaultRowHeight="14.4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2" width="14" customWidth="1"/>
    <col min="13" max="13" width="16.6640625" customWidth="1"/>
    <col min="14" max="14" width="18.88671875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55" ht="33" customHeight="1">
      <c r="A1" s="18" t="s">
        <v>13</v>
      </c>
      <c r="B1" s="18" t="s">
        <v>9</v>
      </c>
      <c r="C1" s="18" t="s">
        <v>27</v>
      </c>
      <c r="D1" s="18" t="s">
        <v>138</v>
      </c>
      <c r="E1" s="18" t="s">
        <v>11</v>
      </c>
      <c r="F1" s="18" t="s">
        <v>135</v>
      </c>
      <c r="G1" s="18" t="s">
        <v>126</v>
      </c>
      <c r="H1" s="18" t="s">
        <v>127</v>
      </c>
      <c r="I1" s="18" t="s">
        <v>128</v>
      </c>
      <c r="J1" s="18" t="s">
        <v>136</v>
      </c>
      <c r="K1" s="18" t="s">
        <v>139</v>
      </c>
      <c r="L1" s="18" t="s">
        <v>140</v>
      </c>
      <c r="M1" s="18" t="s">
        <v>141</v>
      </c>
      <c r="N1" s="18" t="s">
        <v>142</v>
      </c>
      <c r="O1" s="18" t="s">
        <v>143</v>
      </c>
      <c r="P1" s="18" t="s">
        <v>144</v>
      </c>
      <c r="Q1" s="18" t="s">
        <v>145</v>
      </c>
      <c r="R1" s="18" t="s">
        <v>146</v>
      </c>
      <c r="S1" s="18" t="s">
        <v>147</v>
      </c>
      <c r="T1" s="18" t="s">
        <v>148</v>
      </c>
      <c r="U1" s="18" t="s">
        <v>149</v>
      </c>
      <c r="V1" s="18" t="s">
        <v>150</v>
      </c>
      <c r="W1" s="18" t="s">
        <v>151</v>
      </c>
      <c r="X1" s="18" t="s">
        <v>152</v>
      </c>
      <c r="Y1" s="18" t="s">
        <v>153</v>
      </c>
      <c r="Z1" s="18" t="s">
        <v>154</v>
      </c>
      <c r="AA1" s="18" t="s">
        <v>129</v>
      </c>
      <c r="AB1" s="18" t="s">
        <v>130</v>
      </c>
      <c r="AC1" s="18" t="s">
        <v>155</v>
      </c>
      <c r="AD1" s="18" t="s">
        <v>156</v>
      </c>
      <c r="AE1" s="18" t="s">
        <v>157</v>
      </c>
      <c r="AF1" s="18" t="s">
        <v>125</v>
      </c>
      <c r="AG1" s="18" t="s">
        <v>132</v>
      </c>
      <c r="AH1" s="18" t="s">
        <v>158</v>
      </c>
      <c r="AI1" s="18" t="s">
        <v>159</v>
      </c>
      <c r="AJ1" s="18" t="s">
        <v>160</v>
      </c>
      <c r="AK1" s="18" t="s">
        <v>161</v>
      </c>
      <c r="AL1" s="18" t="s">
        <v>12</v>
      </c>
      <c r="AM1" s="18" t="s">
        <v>131</v>
      </c>
      <c r="AN1" s="18" t="s">
        <v>137</v>
      </c>
      <c r="AO1" s="18" t="s">
        <v>162</v>
      </c>
      <c r="AP1" s="18" t="s">
        <v>163</v>
      </c>
      <c r="AQ1" s="18" t="s">
        <v>164</v>
      </c>
      <c r="AR1" s="18" t="s">
        <v>165</v>
      </c>
      <c r="AS1" s="18" t="s">
        <v>166</v>
      </c>
      <c r="AT1" s="18" t="s">
        <v>167</v>
      </c>
      <c r="AU1" s="18" t="s">
        <v>168</v>
      </c>
      <c r="AV1" s="18" t="s">
        <v>169</v>
      </c>
      <c r="AW1" s="18" t="s">
        <v>170</v>
      </c>
      <c r="AX1" s="18" t="s">
        <v>171</v>
      </c>
      <c r="AY1" s="18" t="s">
        <v>172</v>
      </c>
      <c r="AZ1" s="18" t="s">
        <v>173</v>
      </c>
      <c r="BA1" s="18" t="s">
        <v>174</v>
      </c>
      <c r="BB1" s="18" t="s">
        <v>175</v>
      </c>
      <c r="BC1" s="18" t="s">
        <v>176</v>
      </c>
    </row>
  </sheetData>
  <autoFilter ref="A1:AC1" xr:uid="{1F98D615-FD6F-400E-BAD1-695E8041768F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:AZ1"/>
  <sheetViews>
    <sheetView zoomScaleNormal="100" workbookViewId="0">
      <pane ySplit="1" topLeftCell="A2" activePane="bottomLeft" state="frozen"/>
      <selection pane="bottomLeft" activeCell="M9" sqref="M9"/>
    </sheetView>
  </sheetViews>
  <sheetFormatPr defaultRowHeight="14.4"/>
  <cols>
    <col min="1" max="1" width="10.44140625" customWidth="1"/>
    <col min="2" max="2" width="11.109375" customWidth="1"/>
    <col min="3" max="3" width="32.44140625" customWidth="1"/>
    <col min="4" max="4" width="27.88671875" customWidth="1"/>
    <col min="5" max="5" width="25.109375" customWidth="1"/>
    <col min="6" max="6" width="13.33203125" customWidth="1"/>
    <col min="7" max="7" width="22.109375" customWidth="1"/>
    <col min="8" max="8" width="22.88671875" customWidth="1"/>
    <col min="9" max="9" width="16.5546875" customWidth="1"/>
    <col min="10" max="10" width="10.5546875" customWidth="1"/>
    <col min="11" max="11" width="38.88671875" customWidth="1"/>
    <col min="12" max="12" width="28.44140625" customWidth="1"/>
    <col min="13" max="13" width="34.33203125" customWidth="1"/>
    <col min="14" max="14" width="16.109375" customWidth="1"/>
    <col min="15" max="15" width="11.33203125" customWidth="1"/>
    <col min="16" max="16" width="22.6640625" customWidth="1"/>
    <col min="17" max="17" width="16.5546875" customWidth="1"/>
    <col min="18" max="18" width="22.44140625" customWidth="1"/>
    <col min="19" max="19" width="21.44140625" customWidth="1"/>
    <col min="20" max="20" width="27.33203125" customWidth="1"/>
    <col min="21" max="21" width="19" customWidth="1"/>
    <col min="22" max="22" width="24.88671875" customWidth="1"/>
    <col min="23" max="23" width="25.44140625" customWidth="1"/>
    <col min="24" max="24" width="62" customWidth="1"/>
    <col min="25" max="25" width="27.109375" customWidth="1"/>
    <col min="26" max="26" width="62.44140625" customWidth="1"/>
    <col min="27" max="27" width="39.88671875" customWidth="1"/>
    <col min="28" max="28" width="19" customWidth="1"/>
    <col min="29" max="29" width="18.33203125" customWidth="1"/>
    <col min="30" max="30" width="24.109375" customWidth="1"/>
    <col min="31" max="31" width="34.6640625" customWidth="1"/>
    <col min="32" max="32" width="19.109375" customWidth="1"/>
    <col min="33" max="33" width="26.88671875" customWidth="1"/>
    <col min="34" max="34" width="23.5546875" customWidth="1"/>
    <col min="35" max="35" width="22.109375" customWidth="1"/>
    <col min="36" max="36" width="18" customWidth="1"/>
    <col min="37" max="37" width="26.5546875" customWidth="1"/>
    <col min="38" max="38" width="33.88671875" customWidth="1"/>
    <col min="39" max="39" width="56.44140625" customWidth="1"/>
    <col min="40" max="40" width="32.44140625" customWidth="1"/>
    <col min="41" max="41" width="38.109375" customWidth="1"/>
    <col min="42" max="42" width="36.33203125" customWidth="1"/>
    <col min="43" max="43" width="42.109375" customWidth="1"/>
    <col min="44" max="44" width="24.44140625" customWidth="1"/>
    <col min="45" max="45" width="36.109375" customWidth="1"/>
    <col min="46" max="46" width="41.88671875" customWidth="1"/>
    <col min="47" max="47" width="23.109375" customWidth="1"/>
    <col min="48" max="48" width="25.109375" customWidth="1"/>
    <col min="49" max="49" width="31" customWidth="1"/>
    <col min="50" max="50" width="11.6640625" customWidth="1"/>
    <col min="51" max="51" width="17.5546875" customWidth="1"/>
    <col min="52" max="52" width="17.44140625" customWidth="1"/>
    <col min="53" max="53" width="23.33203125" customWidth="1"/>
    <col min="54" max="54" width="12.5546875" customWidth="1"/>
    <col min="55" max="55" width="19.5546875" customWidth="1"/>
    <col min="56" max="56" width="22.109375" customWidth="1"/>
    <col min="57" max="57" width="20.33203125" customWidth="1"/>
    <col min="58" max="58" width="22.5546875" customWidth="1"/>
    <col min="59" max="59" width="13.5546875" customWidth="1"/>
    <col min="60" max="60" width="21" customWidth="1"/>
    <col min="61" max="61" width="26.88671875" customWidth="1"/>
    <col min="62" max="62" width="11.33203125" customWidth="1"/>
  </cols>
  <sheetData>
    <row r="1" spans="1:52" s="21" customFormat="1" ht="24.9" customHeight="1">
      <c r="A1" s="19" t="s">
        <v>138</v>
      </c>
      <c r="B1" s="20" t="s">
        <v>11</v>
      </c>
      <c r="C1" s="20" t="s">
        <v>135</v>
      </c>
      <c r="D1" s="20" t="s">
        <v>126</v>
      </c>
      <c r="E1" s="20" t="s">
        <v>127</v>
      </c>
      <c r="F1" s="20" t="s">
        <v>128</v>
      </c>
      <c r="G1" s="20" t="s">
        <v>136</v>
      </c>
      <c r="H1" s="20" t="s">
        <v>139</v>
      </c>
      <c r="I1" s="20" t="s">
        <v>140</v>
      </c>
      <c r="J1" s="19" t="s">
        <v>141</v>
      </c>
      <c r="K1" s="19" t="s">
        <v>142</v>
      </c>
      <c r="L1" s="19" t="s">
        <v>143</v>
      </c>
      <c r="M1" s="20" t="s">
        <v>144</v>
      </c>
      <c r="N1" s="19" t="s">
        <v>145</v>
      </c>
      <c r="O1" s="19" t="s">
        <v>146</v>
      </c>
      <c r="P1" s="19" t="s">
        <v>147</v>
      </c>
      <c r="Q1" s="19" t="s">
        <v>148</v>
      </c>
      <c r="R1" s="19" t="s">
        <v>149</v>
      </c>
      <c r="S1" s="19" t="s">
        <v>150</v>
      </c>
      <c r="T1" s="19" t="s">
        <v>151</v>
      </c>
      <c r="U1" s="19" t="s">
        <v>152</v>
      </c>
      <c r="V1" s="19" t="s">
        <v>153</v>
      </c>
      <c r="W1" s="19" t="s">
        <v>154</v>
      </c>
      <c r="X1" s="19" t="s">
        <v>129</v>
      </c>
      <c r="Y1" s="19" t="s">
        <v>130</v>
      </c>
      <c r="Z1" s="19" t="s">
        <v>155</v>
      </c>
      <c r="AA1" s="19" t="s">
        <v>156</v>
      </c>
      <c r="AB1" s="19" t="s">
        <v>157</v>
      </c>
      <c r="AC1" s="19" t="s">
        <v>125</v>
      </c>
      <c r="AD1" s="19" t="s">
        <v>132</v>
      </c>
      <c r="AE1" s="19" t="s">
        <v>158</v>
      </c>
      <c r="AF1" s="19" t="s">
        <v>159</v>
      </c>
      <c r="AG1" s="19" t="s">
        <v>160</v>
      </c>
      <c r="AH1" s="19" t="s">
        <v>161</v>
      </c>
      <c r="AI1" s="20" t="s">
        <v>12</v>
      </c>
      <c r="AJ1" s="20" t="s">
        <v>131</v>
      </c>
      <c r="AK1" s="20" t="s">
        <v>137</v>
      </c>
      <c r="AL1" s="19" t="s">
        <v>162</v>
      </c>
      <c r="AM1" s="19" t="s">
        <v>163</v>
      </c>
      <c r="AN1" s="19" t="s">
        <v>164</v>
      </c>
      <c r="AO1" s="19" t="s">
        <v>165</v>
      </c>
      <c r="AP1" s="19" t="s">
        <v>166</v>
      </c>
      <c r="AQ1" s="19" t="s">
        <v>167</v>
      </c>
      <c r="AR1" s="19" t="s">
        <v>168</v>
      </c>
      <c r="AS1" s="19" t="s">
        <v>169</v>
      </c>
      <c r="AT1" s="19" t="s">
        <v>170</v>
      </c>
      <c r="AU1" s="19" t="s">
        <v>171</v>
      </c>
      <c r="AV1" s="19" t="s">
        <v>172</v>
      </c>
      <c r="AW1" s="20" t="s">
        <v>173</v>
      </c>
      <c r="AX1" s="20" t="s">
        <v>174</v>
      </c>
      <c r="AY1" s="19" t="s">
        <v>175</v>
      </c>
      <c r="AZ1" s="19" t="s">
        <v>176</v>
      </c>
    </row>
  </sheetData>
  <autoFilter ref="A1:BJ1" xr:uid="{3087E602-052C-4615-B202-20507170DD7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zoomScaleNormal="100" workbookViewId="0">
      <selection activeCell="AY3" sqref="AY3:AZ3"/>
    </sheetView>
  </sheetViews>
  <sheetFormatPr defaultRowHeight="16.5" customHeight="1"/>
  <cols>
    <col min="1" max="1" width="4.109375" customWidth="1"/>
    <col min="2" max="2" width="13.44140625" customWidth="1"/>
    <col min="3" max="3" width="35.109375" customWidth="1"/>
    <col min="4" max="4" width="9.44140625" customWidth="1"/>
    <col min="5" max="5" width="8.88671875" customWidth="1"/>
    <col min="6" max="6" width="32.44140625" customWidth="1"/>
    <col min="7" max="7" width="13.5546875" customWidth="1"/>
    <col min="8" max="8" width="19.5546875" customWidth="1"/>
    <col min="9" max="9" width="10.33203125" customWidth="1"/>
    <col min="10" max="10" width="13.33203125" customWidth="1"/>
    <col min="11" max="11" width="11" customWidth="1"/>
    <col min="12" max="12" width="15.44140625" customWidth="1"/>
    <col min="13" max="13" width="11.33203125" customWidth="1"/>
    <col min="14" max="14" width="23.44140625" customWidth="1"/>
    <col min="15" max="15" width="23.5546875" customWidth="1"/>
    <col min="16" max="16" width="29.33203125" customWidth="1"/>
    <col min="17" max="17" width="26.33203125" customWidth="1"/>
    <col min="18" max="18" width="12.5546875" customWidth="1"/>
    <col min="19" max="19" width="21.6640625" customWidth="1"/>
    <col min="20" max="20" width="12.5546875" customWidth="1"/>
    <col min="21" max="21" width="31.109375" customWidth="1"/>
    <col min="22" max="22" width="16.44140625" customWidth="1"/>
    <col min="23" max="23" width="25.44140625" customWidth="1"/>
    <col min="24" max="24" width="8.44140625" customWidth="1"/>
    <col min="25" max="25" width="15.44140625" customWidth="1"/>
    <col min="26" max="26" width="14.88671875" customWidth="1"/>
    <col min="27" max="27" width="15.44140625" customWidth="1"/>
    <col min="28" max="28" width="16.88671875" customWidth="1"/>
    <col min="29" max="29" width="19.44140625" customWidth="1"/>
    <col min="30" max="30" width="24.5546875" customWidth="1"/>
    <col min="31" max="31" width="24" customWidth="1"/>
    <col min="32" max="32" width="27.6640625" customWidth="1"/>
    <col min="33" max="33" width="17.44140625" customWidth="1"/>
    <col min="34" max="34" width="18.33203125" customWidth="1"/>
    <col min="35" max="35" width="24" customWidth="1"/>
    <col min="36" max="36" width="16.33203125" customWidth="1"/>
    <col min="37" max="37" width="18" customWidth="1"/>
    <col min="38" max="38" width="27.44140625" customWidth="1"/>
    <col min="39" max="39" width="21.44140625" customWidth="1"/>
    <col min="40" max="40" width="15.33203125" customWidth="1"/>
    <col min="41" max="41" width="29" customWidth="1"/>
    <col min="42" max="42" width="22" customWidth="1"/>
    <col min="43" max="43" width="9.5546875" customWidth="1"/>
    <col min="44" max="44" width="13.109375" customWidth="1"/>
    <col min="45" max="45" width="21.44140625" customWidth="1"/>
    <col min="46" max="46" width="23.44140625" customWidth="1"/>
    <col min="47" max="47" width="23.109375" customWidth="1"/>
    <col min="48" max="48" width="17.44140625" customWidth="1"/>
    <col min="49" max="49" width="14.109375" customWidth="1"/>
    <col min="50" max="50" width="18.6640625" customWidth="1"/>
    <col min="51" max="51" width="23.44140625" customWidth="1"/>
    <col min="52" max="52" width="24.6640625" customWidth="1"/>
    <col min="53" max="55" width="12.5546875" customWidth="1"/>
    <col min="56" max="56" width="25.44140625" customWidth="1"/>
    <col min="57" max="57" width="22.44140625" customWidth="1"/>
    <col min="58" max="58" width="13.44140625" customWidth="1"/>
    <col min="59" max="59" width="15.109375" customWidth="1"/>
    <col min="60" max="60" width="13.44140625" customWidth="1"/>
    <col min="61" max="61" width="14.44140625" customWidth="1"/>
    <col min="62" max="62" width="15.44140625" customWidth="1"/>
    <col min="63" max="63" width="17.88671875" customWidth="1"/>
    <col min="64" max="64" width="12.5546875" customWidth="1"/>
    <col min="65" max="65" width="27.44140625" customWidth="1"/>
    <col min="66" max="66" width="24.44140625" customWidth="1"/>
    <col min="67" max="73" width="12.5546875" customWidth="1"/>
    <col min="74" max="74" width="27.44140625" customWidth="1"/>
    <col min="75" max="75" width="24.44140625" customWidth="1"/>
    <col min="76" max="87" width="12.5546875" customWidth="1"/>
    <col min="88" max="88" width="15.6640625" customWidth="1"/>
    <col min="89" max="95" width="12.5546875" customWidth="1"/>
    <col min="96" max="96" width="15.6640625" customWidth="1"/>
    <col min="97" max="97" width="17.6640625" customWidth="1"/>
    <col min="98" max="98" width="19.5546875" customWidth="1"/>
  </cols>
  <sheetData>
    <row r="1" spans="1:106" s="2" customFormat="1" ht="29.25" customHeight="1">
      <c r="A1" s="1" t="s">
        <v>28</v>
      </c>
    </row>
    <row r="2" spans="1:106" ht="6.75" customHeight="1"/>
    <row r="3" spans="1:106" s="5" customFormat="1" ht="14.4">
      <c r="A3" s="3" t="s">
        <v>29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4">
        <v>34</v>
      </c>
      <c r="AJ3" s="4">
        <v>35</v>
      </c>
      <c r="AK3" s="4">
        <v>36</v>
      </c>
      <c r="AL3" s="4">
        <v>37</v>
      </c>
      <c r="AM3" s="4">
        <v>38</v>
      </c>
      <c r="AN3" s="4">
        <v>39</v>
      </c>
      <c r="AO3" s="4">
        <v>40</v>
      </c>
      <c r="AP3" s="4">
        <v>41</v>
      </c>
      <c r="AQ3" s="4">
        <v>42</v>
      </c>
      <c r="AR3" s="4">
        <v>43</v>
      </c>
      <c r="AS3" s="4">
        <v>44</v>
      </c>
      <c r="AT3" s="4">
        <v>45</v>
      </c>
      <c r="AU3" s="4">
        <v>46</v>
      </c>
      <c r="AV3" s="4">
        <v>47</v>
      </c>
      <c r="AW3" s="4">
        <v>48</v>
      </c>
      <c r="AX3" s="4">
        <v>49</v>
      </c>
      <c r="AY3" s="4">
        <v>50</v>
      </c>
      <c r="AZ3" s="4">
        <v>51</v>
      </c>
      <c r="BA3" s="4">
        <v>52</v>
      </c>
      <c r="BB3" s="4">
        <v>53</v>
      </c>
      <c r="BC3" s="4">
        <v>54</v>
      </c>
      <c r="BD3" s="4">
        <v>55</v>
      </c>
      <c r="BE3" s="4">
        <v>56</v>
      </c>
      <c r="BF3" s="4">
        <v>57</v>
      </c>
      <c r="BG3" s="4">
        <v>58</v>
      </c>
      <c r="BH3" s="4">
        <v>59</v>
      </c>
      <c r="BI3" s="4">
        <v>60</v>
      </c>
      <c r="BJ3" s="4">
        <v>61</v>
      </c>
      <c r="BK3" s="4">
        <v>62</v>
      </c>
      <c r="BL3" s="4">
        <v>63</v>
      </c>
      <c r="BM3" s="4">
        <v>64</v>
      </c>
      <c r="BN3" s="4">
        <v>65</v>
      </c>
      <c r="BO3" s="4">
        <v>66</v>
      </c>
      <c r="BP3" s="4">
        <v>67</v>
      </c>
      <c r="BQ3" s="4">
        <v>68</v>
      </c>
      <c r="BR3" s="4">
        <v>69</v>
      </c>
      <c r="BS3" s="4">
        <v>70</v>
      </c>
      <c r="BT3" s="4">
        <v>71</v>
      </c>
      <c r="BU3" s="4">
        <v>72</v>
      </c>
      <c r="BV3" s="4">
        <v>73</v>
      </c>
      <c r="BW3" s="4">
        <v>74</v>
      </c>
      <c r="BX3" s="4">
        <v>75</v>
      </c>
      <c r="BY3" s="4">
        <v>76</v>
      </c>
      <c r="BZ3" s="4">
        <v>77</v>
      </c>
      <c r="CA3" s="4">
        <v>78</v>
      </c>
      <c r="CB3" s="4">
        <v>79</v>
      </c>
      <c r="CC3" s="4">
        <v>80</v>
      </c>
      <c r="CD3" s="4">
        <v>81</v>
      </c>
      <c r="CE3" s="4">
        <v>82</v>
      </c>
      <c r="CF3" s="4">
        <v>83</v>
      </c>
      <c r="CG3" s="4">
        <v>84</v>
      </c>
      <c r="CH3" s="4">
        <v>85</v>
      </c>
      <c r="CI3" s="4">
        <v>86</v>
      </c>
      <c r="CJ3" s="4">
        <v>87</v>
      </c>
      <c r="CK3" s="4">
        <v>88</v>
      </c>
      <c r="CL3" s="4">
        <v>89</v>
      </c>
      <c r="CM3" s="4">
        <v>90</v>
      </c>
      <c r="CN3" s="4">
        <v>91</v>
      </c>
      <c r="CO3" s="4">
        <v>92</v>
      </c>
      <c r="CP3" s="4">
        <v>93</v>
      </c>
      <c r="CQ3" s="4">
        <v>94</v>
      </c>
      <c r="CR3" s="4">
        <v>95</v>
      </c>
      <c r="CS3" s="4">
        <v>96</v>
      </c>
      <c r="CT3" s="4">
        <v>97</v>
      </c>
      <c r="CU3" s="4">
        <v>98</v>
      </c>
    </row>
    <row r="4" spans="1:106" s="6" customFormat="1" ht="14.4" customHeight="1">
      <c r="N4" s="50" t="s">
        <v>30</v>
      </c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2"/>
      <c r="AH4" s="7" t="s">
        <v>31</v>
      </c>
      <c r="AI4" s="7"/>
      <c r="AJ4" s="7"/>
      <c r="AK4" s="8" t="s">
        <v>32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10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11" t="s">
        <v>33</v>
      </c>
      <c r="CT4" s="12"/>
      <c r="CU4" s="12"/>
      <c r="CW4" s="53" t="s">
        <v>34</v>
      </c>
      <c r="CX4" s="53"/>
      <c r="CY4" s="53"/>
      <c r="CZ4" s="53"/>
      <c r="DA4" s="53"/>
      <c r="DB4" s="53"/>
    </row>
    <row r="5" spans="1:106" s="40" customFormat="1" ht="30" customHeight="1">
      <c r="A5" s="22"/>
      <c r="B5" s="23" t="s">
        <v>35</v>
      </c>
      <c r="C5" s="23" t="s">
        <v>14</v>
      </c>
      <c r="D5" s="23" t="s">
        <v>15</v>
      </c>
      <c r="E5" s="23" t="s">
        <v>36</v>
      </c>
      <c r="F5" s="23" t="s">
        <v>37</v>
      </c>
      <c r="G5" s="23" t="s">
        <v>38</v>
      </c>
      <c r="H5" s="23" t="s">
        <v>39</v>
      </c>
      <c r="I5" s="23" t="s">
        <v>40</v>
      </c>
      <c r="J5" s="23" t="s">
        <v>41</v>
      </c>
      <c r="K5" s="23" t="s">
        <v>42</v>
      </c>
      <c r="L5" s="23" t="s">
        <v>43</v>
      </c>
      <c r="M5" s="24" t="s">
        <v>44</v>
      </c>
      <c r="N5" s="25" t="s">
        <v>16</v>
      </c>
      <c r="O5" s="13" t="s">
        <v>45</v>
      </c>
      <c r="P5" s="26" t="s">
        <v>46</v>
      </c>
      <c r="Q5" s="13" t="s">
        <v>47</v>
      </c>
      <c r="R5" s="26" t="s">
        <v>48</v>
      </c>
      <c r="S5" s="26" t="s">
        <v>17</v>
      </c>
      <c r="T5" s="26" t="s">
        <v>49</v>
      </c>
      <c r="U5" s="27" t="s">
        <v>50</v>
      </c>
      <c r="V5" s="27" t="s">
        <v>51</v>
      </c>
      <c r="W5" s="27" t="s">
        <v>52</v>
      </c>
      <c r="X5" s="26" t="s">
        <v>53</v>
      </c>
      <c r="Y5" s="26" t="s">
        <v>54</v>
      </c>
      <c r="Z5" s="27" t="s">
        <v>55</v>
      </c>
      <c r="AA5" s="27" t="s">
        <v>18</v>
      </c>
      <c r="AB5" s="26" t="s">
        <v>56</v>
      </c>
      <c r="AC5" s="26" t="s">
        <v>19</v>
      </c>
      <c r="AD5" s="26" t="s">
        <v>20</v>
      </c>
      <c r="AE5" s="26" t="s">
        <v>57</v>
      </c>
      <c r="AF5" s="27" t="s">
        <v>58</v>
      </c>
      <c r="AG5" s="28" t="s">
        <v>59</v>
      </c>
      <c r="AH5" s="29" t="s">
        <v>60</v>
      </c>
      <c r="AI5" s="30" t="s">
        <v>61</v>
      </c>
      <c r="AJ5" s="31" t="s">
        <v>62</v>
      </c>
      <c r="AK5" s="25" t="s">
        <v>63</v>
      </c>
      <c r="AL5" s="26" t="s">
        <v>64</v>
      </c>
      <c r="AM5" s="26" t="s">
        <v>65</v>
      </c>
      <c r="AN5" s="26" t="s">
        <v>66</v>
      </c>
      <c r="AO5" s="26" t="s">
        <v>67</v>
      </c>
      <c r="AP5" s="32" t="s">
        <v>68</v>
      </c>
      <c r="AQ5" s="32" t="s">
        <v>69</v>
      </c>
      <c r="AR5" s="32" t="s">
        <v>70</v>
      </c>
      <c r="AS5" s="27" t="s">
        <v>71</v>
      </c>
      <c r="AT5" s="27" t="s">
        <v>72</v>
      </c>
      <c r="AU5" s="27" t="s">
        <v>73</v>
      </c>
      <c r="AV5" s="26" t="s">
        <v>74</v>
      </c>
      <c r="AW5" s="26" t="s">
        <v>75</v>
      </c>
      <c r="AX5" s="27" t="s">
        <v>76</v>
      </c>
      <c r="AY5" s="27" t="s">
        <v>77</v>
      </c>
      <c r="AZ5" s="27" t="s">
        <v>78</v>
      </c>
      <c r="BA5" s="28" t="s">
        <v>79</v>
      </c>
      <c r="BB5" s="33" t="s">
        <v>21</v>
      </c>
      <c r="BC5" s="33" t="s">
        <v>80</v>
      </c>
      <c r="BD5" s="34" t="s">
        <v>22</v>
      </c>
      <c r="BE5" s="34" t="s">
        <v>81</v>
      </c>
      <c r="BF5" s="33" t="s">
        <v>82</v>
      </c>
      <c r="BG5" s="35" t="s">
        <v>83</v>
      </c>
      <c r="BH5" s="33" t="s">
        <v>84</v>
      </c>
      <c r="BI5" s="33" t="s">
        <v>23</v>
      </c>
      <c r="BJ5" s="33" t="s">
        <v>85</v>
      </c>
      <c r="BK5" s="36" t="s">
        <v>24</v>
      </c>
      <c r="BL5" s="36" t="s">
        <v>86</v>
      </c>
      <c r="BM5" s="36" t="s">
        <v>25</v>
      </c>
      <c r="BN5" s="36" t="s">
        <v>87</v>
      </c>
      <c r="BO5" s="36" t="s">
        <v>88</v>
      </c>
      <c r="BP5" s="36" t="s">
        <v>89</v>
      </c>
      <c r="BQ5" s="36" t="s">
        <v>90</v>
      </c>
      <c r="BR5" s="36" t="s">
        <v>91</v>
      </c>
      <c r="BS5" s="36" t="s">
        <v>26</v>
      </c>
      <c r="BT5" s="33" t="s">
        <v>92</v>
      </c>
      <c r="BU5" s="33" t="s">
        <v>93</v>
      </c>
      <c r="BV5" s="33" t="s">
        <v>94</v>
      </c>
      <c r="BW5" s="33" t="s">
        <v>95</v>
      </c>
      <c r="BX5" s="33" t="s">
        <v>96</v>
      </c>
      <c r="BY5" s="33" t="s">
        <v>97</v>
      </c>
      <c r="BZ5" s="33" t="s">
        <v>98</v>
      </c>
      <c r="CA5" s="33" t="s">
        <v>99</v>
      </c>
      <c r="CB5" s="33" t="s">
        <v>100</v>
      </c>
      <c r="CC5" s="36" t="s">
        <v>101</v>
      </c>
      <c r="CD5" s="36" t="s">
        <v>102</v>
      </c>
      <c r="CE5" s="36" t="s">
        <v>103</v>
      </c>
      <c r="CF5" s="36" t="s">
        <v>104</v>
      </c>
      <c r="CG5" s="36" t="s">
        <v>105</v>
      </c>
      <c r="CH5" s="36" t="s">
        <v>106</v>
      </c>
      <c r="CI5" s="36" t="s">
        <v>107</v>
      </c>
      <c r="CJ5" s="36" t="s">
        <v>108</v>
      </c>
      <c r="CK5" s="37" t="s">
        <v>109</v>
      </c>
      <c r="CL5" s="37" t="s">
        <v>110</v>
      </c>
      <c r="CM5" s="37" t="s">
        <v>111</v>
      </c>
      <c r="CN5" s="37" t="s">
        <v>112</v>
      </c>
      <c r="CO5" s="37" t="s">
        <v>113</v>
      </c>
      <c r="CP5" s="37" t="s">
        <v>114</v>
      </c>
      <c r="CQ5" s="37" t="s">
        <v>115</v>
      </c>
      <c r="CR5" s="37" t="s">
        <v>116</v>
      </c>
      <c r="CS5" s="38" t="s">
        <v>117</v>
      </c>
      <c r="CT5" s="39" t="s">
        <v>118</v>
      </c>
      <c r="CU5" s="39" t="s">
        <v>27</v>
      </c>
      <c r="CW5" s="41" t="s">
        <v>119</v>
      </c>
      <c r="CX5" s="41" t="s">
        <v>120</v>
      </c>
      <c r="CY5" s="41" t="s">
        <v>121</v>
      </c>
      <c r="CZ5" s="41" t="s">
        <v>122</v>
      </c>
      <c r="DA5" s="41" t="s">
        <v>123</v>
      </c>
      <c r="DB5" s="41" t="s">
        <v>124</v>
      </c>
    </row>
    <row r="6" spans="1:106" ht="14.4"/>
    <row r="7" spans="1:106" ht="14.4">
      <c r="C7" s="14"/>
      <c r="D7" s="14"/>
      <c r="E7" s="14"/>
      <c r="F7" s="14"/>
      <c r="G7" s="14"/>
      <c r="BB7" s="14"/>
      <c r="BC7" s="15"/>
      <c r="BD7" s="15"/>
      <c r="BE7" s="14"/>
      <c r="BF7" s="14"/>
      <c r="BG7" s="14"/>
    </row>
    <row r="8" spans="1:106" ht="14.4">
      <c r="C8" s="16"/>
      <c r="D8" s="14"/>
      <c r="E8" s="14"/>
      <c r="F8" s="14"/>
      <c r="G8" s="14"/>
      <c r="BB8" s="14"/>
      <c r="BC8" s="14"/>
      <c r="BD8" s="15"/>
      <c r="BE8" s="14"/>
      <c r="BF8" s="14"/>
      <c r="BG8" s="14"/>
    </row>
    <row r="9" spans="1:106" ht="14.4">
      <c r="C9" s="16"/>
      <c r="D9" s="17"/>
      <c r="E9" s="14"/>
      <c r="F9" s="14"/>
      <c r="G9" s="14"/>
      <c r="BB9" s="14"/>
      <c r="BC9" s="14"/>
      <c r="BD9" s="14"/>
      <c r="BE9" s="14"/>
      <c r="BF9" s="14"/>
      <c r="BG9" s="14"/>
    </row>
    <row r="10" spans="1:106" ht="14.4">
      <c r="C10" s="14"/>
      <c r="D10" s="14"/>
      <c r="E10" s="14"/>
      <c r="F10" s="14"/>
      <c r="G10" s="14"/>
      <c r="BB10" s="14"/>
      <c r="BC10" s="14"/>
      <c r="BD10" s="14"/>
      <c r="BE10" s="14"/>
      <c r="BF10" s="14"/>
      <c r="BG10" s="14"/>
    </row>
    <row r="11" spans="1:106" ht="14.4">
      <c r="C11" s="14"/>
      <c r="D11" s="14"/>
      <c r="E11" s="14"/>
      <c r="F11" s="14"/>
      <c r="G11" s="14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DF_OLB_Summary Result</vt:lpstr>
      <vt:lpstr>DF_OLB_Reconcile</vt:lpstr>
      <vt:lpstr>DF_OLB</vt:lpstr>
      <vt:lpstr>Test Data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2026-08-18T09:38:47Z</dcterms:modified>
  <cp:category/>
  <cp:contentStatus/>
</cp:coreProperties>
</file>