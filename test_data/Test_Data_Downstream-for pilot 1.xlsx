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rungsribank-my.sharepoint.com/personal/7d080119_krungsri_com/Documents/Desktop/AF1-testcase 24.07.2026/test_data/"/>
    </mc:Choice>
  </mc:AlternateContent>
  <xr:revisionPtr revIDLastSave="61" documentId="8_{9FE46250-489A-43D1-84CA-9D2EB3DEB066}" xr6:coauthVersionLast="47" xr6:coauthVersionMax="47" xr10:uidLastSave="{536D669A-F951-47DC-900F-0381797235DB}"/>
  <bookViews>
    <workbookView xWindow="-120" yWindow="-120" windowWidth="29040" windowHeight="15720" xr2:uid="{CC1E8425-76A4-42EB-B13D-01C689BDC66D}"/>
  </bookViews>
  <sheets>
    <sheet name="Test Data" sheetId="1" r:id="rId1"/>
  </sheets>
  <definedNames>
    <definedName name="_xlnm._FilterDatabase" localSheetId="0" hidden="1">'Test Data'!$A$3:$CU$15</definedName>
    <definedName name="valuevx">42.314159</definedName>
    <definedName name="vertex42_copyright" hidden="1">"© 2017 Vertex42 LLC"</definedName>
    <definedName name="vertex42_id" hidden="1">"project-timeline.xlsx"</definedName>
    <definedName name="vertex42_title" hidden="1">"Project Timeline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15" i="1" l="1"/>
  <c r="AE14" i="1"/>
  <c r="AE13" i="1"/>
  <c r="AE12" i="1"/>
  <c r="AE11" i="1"/>
  <c r="AE9" i="1"/>
  <c r="AE7" i="1"/>
  <c r="AE6" i="1"/>
</calcChain>
</file>

<file path=xl/sharedStrings.xml><?xml version="1.0" encoding="utf-8"?>
<sst xmlns="http://schemas.openxmlformats.org/spreadsheetml/2006/main" count="519" uniqueCount="265">
  <si>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</si>
  <si>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</si>
  <si>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</si>
  <si>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</si>
  <si>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</si>
  <si>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</si>
  <si>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</si>
  <si>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</si>
  <si>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Test Case / Scenario</t>
  </si>
  <si>
    <t>Txn Date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</si>
  <si>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</si>
  <si>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</si>
  <si>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</si>
  <si>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</si>
  <si>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</si>
  <si>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</si>
  <si>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</si>
  <si>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</si>
  <si>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</si>
  <si>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No. (Client/Sender)</t>
  </si>
  <si>
    <t>From CIF Name (Client/Sender)</t>
  </si>
  <si>
    <t>From Bank Code / Branch (Client/Sender)</t>
  </si>
  <si>
    <t>From Bank name (Client/Sender)</t>
  </si>
  <si>
    <t>From Account Type</t>
  </si>
  <si>
    <t>From Account ( A/C Client/Sender)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</si>
  <si>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</si>
  <si>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</si>
  <si>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</si>
  <si>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</si>
  <si>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</si>
  <si>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</si>
  <si>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</si>
  <si>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Currency (CCY)</t>
  </si>
  <si>
    <t>From FX Rate (Customer Rate)</t>
  </si>
  <si>
    <t xml:space="preserve">From Debit Amount </t>
  </si>
  <si>
    <t>From Transfer Amount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</si>
  <si>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</si>
  <si>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</si>
  <si>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</si>
  <si>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</si>
  <si>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</si>
  <si>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</si>
  <si>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</si>
  <si>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</si>
  <si>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</si>
  <si>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</si>
  <si>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</si>
  <si>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</si>
  <si>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</si>
  <si>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</si>
  <si>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</si>
  <si>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</si>
  <si>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</si>
  <si>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</si>
  <si>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</si>
  <si>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</si>
  <si>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</si>
  <si>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</si>
  <si>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</si>
  <si>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Type 1</t>
  </si>
  <si>
    <t>Fee Charge Type 1</t>
  </si>
  <si>
    <t>Fee Charge Account No. Type 1</t>
  </si>
  <si>
    <t>Fee Charge Account Type 1</t>
  </si>
  <si>
    <t>Bank Code Type 1</t>
  </si>
  <si>
    <t>Branch Code Type 1</t>
  </si>
  <si>
    <t>Fee Timing Type 1</t>
  </si>
  <si>
    <t>Fee Amount Type 1</t>
  </si>
  <si>
    <t>Fee Currency Type 1</t>
  </si>
  <si>
    <t>Fee Type 2</t>
  </si>
  <si>
    <t>Fee Charge Type 2</t>
  </si>
  <si>
    <t>Fee Charge Account No. Type 2</t>
  </si>
  <si>
    <t>Fee Charge Account Type 2</t>
  </si>
  <si>
    <t>Bank Code Type 2</t>
  </si>
  <si>
    <t>Branch Code Type 2</t>
  </si>
  <si>
    <t>Fee Timing Type 2</t>
  </si>
  <si>
    <t>Fee Amount 2</t>
  </si>
  <si>
    <t>Fee Currency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</si>
  <si>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</si>
  <si>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</si>
  <si>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</si>
  <si>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</si>
  <si>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</si>
  <si>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</si>
  <si>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</si>
  <si>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</si>
  <si>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</si>
  <si>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</si>
  <si>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</si>
  <si>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</si>
  <si>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</si>
  <si>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</si>
  <si>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</si>
  <si>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</si>
  <si>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</si>
  <si>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</si>
  <si>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</si>
  <si>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</si>
  <si>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</si>
  <si>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</si>
  <si>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</si>
  <si>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</si>
  <si>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</si>
  <si>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</si>
  <si>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</si>
  <si>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Remark</t>
  </si>
  <si>
    <t>FTX</t>
  </si>
  <si>
    <t>FTU</t>
  </si>
  <si>
    <t>FXU</t>
  </si>
  <si>
    <t>OLB</t>
  </si>
  <si>
    <t>LTX</t>
  </si>
  <si>
    <t>PTX</t>
  </si>
  <si>
    <t>2511_001</t>
  </si>
  <si>
    <t>Nium : HKD to HKD, Fee HKD Same ccy</t>
  </si>
  <si>
    <t>25/11/2025</t>
  </si>
  <si>
    <t>16:53:05</t>
  </si>
  <si>
    <t>BIZI196369</t>
  </si>
  <si>
    <t>NIUM251125014287</t>
  </si>
  <si>
    <t>KBO</t>
  </si>
  <si>
    <t>all_country</t>
  </si>
  <si>
    <t>NIUM</t>
  </si>
  <si>
    <t>30056293</t>
  </si>
  <si>
    <t>MISS DAVIKA DOKMAI</t>
  </si>
  <si>
    <t>AYUDTHB0</t>
  </si>
  <si>
    <t>Krungsri</t>
  </si>
  <si>
    <t>FCD</t>
  </si>
  <si>
    <t>7775014433</t>
  </si>
  <si>
    <t>0983031158</t>
  </si>
  <si>
    <t>Resident</t>
  </si>
  <si>
    <t>0600</t>
  </si>
  <si>
    <t>R</t>
  </si>
  <si>
    <t>THA</t>
  </si>
  <si>
    <t>318012</t>
  </si>
  <si>
    <t>Traveling expenses - Tourists</t>
  </si>
  <si>
    <t>HKD</t>
  </si>
  <si>
    <t>7.7760498</t>
  </si>
  <si>
    <t>200.0</t>
  </si>
  <si>
    <t>910.84</t>
  </si>
  <si>
    <t>25.72</t>
  </si>
  <si>
    <t>USD</t>
  </si>
  <si>
    <t>7.7768</t>
  </si>
  <si>
    <t>Mr.Too Yoo</t>
  </si>
  <si>
    <t>Hong Kong Monetary Authority - CTB A</t>
  </si>
  <si>
    <t>1234567</t>
  </si>
  <si>
    <t>Individual</t>
  </si>
  <si>
    <t>TRAN</t>
  </si>
  <si>
    <t>OUR</t>
  </si>
  <si>
    <t>777-5-01443-3</t>
  </si>
  <si>
    <t>COMM</t>
  </si>
  <si>
    <t>2511_002</t>
  </si>
  <si>
    <t>Nium : AUD to JPY, Fee AUD Cross ccy</t>
  </si>
  <si>
    <t>10:02:42</t>
  </si>
  <si>
    <t>KMA3012511250000000023878</t>
  </si>
  <si>
    <t>KSA00000000000013703</t>
  </si>
  <si>
    <t>NIUM251125014250</t>
  </si>
  <si>
    <t>KMA</t>
  </si>
  <si>
    <t>23057027</t>
  </si>
  <si>
    <t>DOLLAR UAT TANGDAO</t>
  </si>
  <si>
    <t>7775014482</t>
  </si>
  <si>
    <t>Non Resident</t>
  </si>
  <si>
    <t>0606</t>
  </si>
  <si>
    <t>NR</t>
  </si>
  <si>
    <t>318231</t>
  </si>
  <si>
    <t>Payments for exported and imported goods</t>
  </si>
  <si>
    <t>AUD</t>
  </si>
  <si>
    <t>0.6736842</t>
  </si>
  <si>
    <t>1.9</t>
  </si>
  <si>
    <t>41.85</t>
  </si>
  <si>
    <t>1.28</t>
  </si>
  <si>
    <t>156.67</t>
  </si>
  <si>
    <t>Toshiba test</t>
  </si>
  <si>
    <t>AEON Bank, Ltd.</t>
  </si>
  <si>
    <t>7878789</t>
  </si>
  <si>
    <t>JPY</t>
  </si>
  <si>
    <t>41.82</t>
  </si>
  <si>
    <t>777-5-01448-2</t>
  </si>
  <si>
    <t>2511_003</t>
  </si>
  <si>
    <t>Nium : THB to AUD, Fee THB</t>
  </si>
  <si>
    <t>13:56:18</t>
  </si>
  <si>
    <t>KBO3042511250000000081392</t>
  </si>
  <si>
    <t>BIZI196368</t>
  </si>
  <si>
    <t>NIUM251125014271</t>
  </si>
  <si>
    <t>SVGS</t>
  </si>
  <si>
    <t>0019673860</t>
  </si>
  <si>
    <t>318028</t>
  </si>
  <si>
    <t>Consultation fees</t>
  </si>
  <si>
    <t>THB</t>
  </si>
  <si>
    <t>64.7773473</t>
  </si>
  <si>
    <t>5015.71</t>
  </si>
  <si>
    <t>77.43</t>
  </si>
  <si>
    <t>1.5497</t>
  </si>
  <si>
    <t>Mr.Taa Taa</t>
  </si>
  <si>
    <t>BANK OF QUEENSLAND LIMITED</t>
  </si>
  <si>
    <t>1223456</t>
  </si>
  <si>
    <t>120.0</t>
  </si>
  <si>
    <t>001-9-67386-0</t>
  </si>
  <si>
    <t>SA</t>
  </si>
  <si>
    <t>2511_004</t>
  </si>
  <si>
    <t>Nium : JPY to JPY *return (Same Day)</t>
  </si>
  <si>
    <t>11:26:05</t>
  </si>
  <si>
    <t>KMA3012511250000000024931</t>
  </si>
  <si>
    <t>KSA00000000000013781</t>
  </si>
  <si>
    <t>NIUM251125014258</t>
  </si>
  <si>
    <t>30079655</t>
  </si>
  <si>
    <t>HONGSAKUL LAOPAISANTAKSIN</t>
  </si>
  <si>
    <t>7775014694</t>
  </si>
  <si>
    <t>156.25</t>
  </si>
  <si>
    <t>50.0</t>
  </si>
  <si>
    <t>10.46</t>
  </si>
  <si>
    <t>0.32</t>
  </si>
  <si>
    <t>156.8</t>
  </si>
  <si>
    <t>Nano test</t>
  </si>
  <si>
    <t>0040</t>
  </si>
  <si>
    <t>2323245</t>
  </si>
  <si>
    <t>777-5-01469-4</t>
  </si>
  <si>
    <t>2383.0</t>
  </si>
  <si>
    <t>2511_004-Return</t>
  </si>
  <si>
    <t>Return</t>
  </si>
  <si>
    <t>GPM0002511250000000164020</t>
  </si>
  <si>
    <t>xxx</t>
  </si>
  <si>
    <t> </t>
  </si>
  <si>
    <t>BOTDMS_002</t>
  </si>
  <si>
    <t>Resident (0600)	Nium : EUR to JPY, Fee EUR *ห้ามเปลี่ยนเป็น USD</t>
  </si>
  <si>
    <t>26/11/2025</t>
  </si>
  <si>
    <t>KBO3042511260000000081670</t>
  </si>
  <si>
    <t>BIZI196371</t>
  </si>
  <si>
    <t>NIUM251126014298</t>
  </si>
  <si>
    <t>0175001950</t>
  </si>
  <si>
    <t>Freight charges</t>
  </si>
  <si>
    <t>EUR</t>
  </si>
  <si>
    <t>Mr.112345 AA</t>
  </si>
  <si>
    <t>017-5-00195-0</t>
  </si>
  <si>
    <t>BOTDMS_003</t>
  </si>
  <si>
    <t>Non Resident (0606) Nium : EUR to JPY, Fee EUR *ห้ามเปลี่ยนเป็น USD</t>
  </si>
  <si>
    <t>27/11/2025</t>
  </si>
  <si>
    <t>KMA3012511270000000030506</t>
  </si>
  <si>
    <t>KSA00000000000014151</t>
  </si>
  <si>
    <t>NIUM251127014334</t>
  </si>
  <si>
    <t>Advertisement fees</t>
  </si>
  <si>
    <t>Hodo Test</t>
  </si>
  <si>
    <t>777-5-00948-5</t>
  </si>
  <si>
    <t>BOTDMS_004</t>
  </si>
  <si>
    <t>Resident (0600) Nium : EUR to HKD, Fee EUR *ห้ามเปลี่ยนเป็น USD</t>
  </si>
  <si>
    <t>KBO3042511260000000081720</t>
  </si>
  <si>
    <t>BIZI196372</t>
  </si>
  <si>
    <t>NIUM251126014299</t>
  </si>
  <si>
    <t>Construction contract fees</t>
  </si>
  <si>
    <t>Mr.Som Sa</t>
  </si>
  <si>
    <t>BOTDMS_005</t>
  </si>
  <si>
    <t>Non Resident (0606) Nium : EUR to HKD, Fee EUR *ห้ามเปลี่ยนเป็น USD</t>
  </si>
  <si>
    <t>KMA3012511270000000030661</t>
  </si>
  <si>
    <t>KSA00000000000014152</t>
  </si>
  <si>
    <t>NIUM251127014336</t>
  </si>
  <si>
    <t>Kasuoh Test</t>
  </si>
  <si>
    <t>BOTDMS_006</t>
  </si>
  <si>
    <t>Non Resident (0903) Nium : USD to USD, Fee USD</t>
  </si>
  <si>
    <t>KMA3012511260000000029153</t>
  </si>
  <si>
    <t>KSA00000000000014057</t>
  </si>
  <si>
    <t>NIUM251126014313</t>
  </si>
  <si>
    <t>PAY NOWFIVE</t>
  </si>
  <si>
    <t>Joji test</t>
  </si>
  <si>
    <t>1st Bank Yuma</t>
  </si>
  <si>
    <t>777-5-01124-1</t>
  </si>
  <si>
    <t>KBO3042511250000000081448</t>
  </si>
  <si>
    <t>AAA_22</t>
  </si>
  <si>
    <t>AAA_23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</si>
</sst>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6"/>
      <color rgb="FF05192D"/>
      <name val="Aptos"/>
      <family val="2"/>
    </font>
    <font>
      <b/>
      <sz val="9"/>
      <color rgb="FF03EF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9"/>
      <color theme="1"/>
      <name val="Aptos"/>
      <family val="2"/>
    </font>
    <font>
      <sz val="9"/>
      <name val="Aptos"/>
      <family val="2"/>
    </font>
    <font>
      <sz val="11"/>
      <color rgb="FF000000"/>
      <name val="Calibri"/>
      <family val="2"/>
    </font>
    <font>
      <sz val="10"/>
      <color rgb="FFFF0000"/>
      <name val="Tahoma"/>
      <family val="2"/>
    </font>
    <font>
      <sz val="11"/>
      <color rgb="FFFF0000"/>
      <name val="Aptos Narrow"/>
      <family val="2"/>
    </font>
    <font>
      <sz val="11"/>
      <color rgb="FF9C0006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6" fillId="2" borderId="0" applyNumberFormat="0" applyBorder="0" applyAlignment="0" applyProtection="0"/>
    <xf numFmtId="0" fontId="19" fillId="0" borderId="0"/>
    <xf numFmtId="0" fontId="6" fillId="0" borderId="0"/>
    <xf numFmtId="0" fontId="28" fillId="17" borderId="0" applyNumberFormat="0" applyBorder="0" applyAlignment="0" applyProtection="0"/>
  </cellStyleXfs>
  <cellXfs count="91">
    <xf numFmtId="0" fontId="0" fillId="0" borderId="0" xfId="0"/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8" fillId="3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0" fillId="0" borderId="0" xfId="0" applyFont="1"/>
    <xf numFmtId="0" fontId="12" fillId="4" borderId="3" xfId="0" applyFont="1" applyFill="1" applyBorder="1"/>
    <xf numFmtId="0" fontId="11" fillId="3" borderId="4" xfId="0" applyFont="1" applyFill="1" applyBorder="1"/>
    <xf numFmtId="0" fontId="11" fillId="3" borderId="3" xfId="0" applyFont="1" applyFill="1" applyBorder="1"/>
    <xf numFmtId="0" fontId="11" fillId="3" borderId="5" xfId="0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4" fillId="5" borderId="6" xfId="2" applyFont="1" applyFill="1" applyBorder="1" applyAlignment="1">
      <alignment horizontal="center" vertical="center"/>
    </xf>
    <xf numFmtId="0" fontId="14" fillId="3" borderId="7" xfId="2" applyFont="1" applyFill="1" applyBorder="1" applyAlignment="1">
      <alignment horizontal="center" vertical="center"/>
    </xf>
    <xf numFmtId="0" fontId="14" fillId="3" borderId="8" xfId="2" applyFont="1" applyFill="1" applyBorder="1" applyAlignment="1">
      <alignment horizontal="center" vertical="center"/>
    </xf>
    <xf numFmtId="0" fontId="15" fillId="6" borderId="9" xfId="2" applyFont="1" applyFill="1" applyBorder="1" applyAlignment="1">
      <alignment vertical="center"/>
    </xf>
    <xf numFmtId="0" fontId="15" fillId="6" borderId="7" xfId="2" applyFont="1" applyFill="1" applyBorder="1" applyAlignment="1">
      <alignment vertical="center"/>
    </xf>
    <xf numFmtId="0" fontId="15" fillId="6" borderId="7" xfId="2" applyFont="1" applyFill="1" applyBorder="1" applyAlignment="1">
      <alignment horizontal="left" vertical="center"/>
    </xf>
    <xf numFmtId="0" fontId="15" fillId="6" borderId="10" xfId="2" applyFont="1" applyFill="1" applyBorder="1" applyAlignment="1">
      <alignment horizontal="left" vertical="center"/>
    </xf>
    <xf numFmtId="0" fontId="16" fillId="7" borderId="11" xfId="2" applyFont="1" applyFill="1" applyBorder="1" applyAlignment="1">
      <alignment horizontal="center" vertical="center"/>
    </xf>
    <xf numFmtId="0" fontId="16" fillId="7" borderId="7" xfId="2" applyFont="1" applyFill="1" applyBorder="1" applyAlignment="1">
      <alignment horizontal="center" vertical="center"/>
    </xf>
    <xf numFmtId="0" fontId="16" fillId="7" borderId="8" xfId="2" applyFont="1" applyFill="1" applyBorder="1" applyAlignment="1">
      <alignment horizontal="center" vertical="center"/>
    </xf>
    <xf numFmtId="0" fontId="15" fillId="8" borderId="7" xfId="2" applyFont="1" applyFill="1" applyBorder="1" applyAlignment="1">
      <alignment vertical="center"/>
    </xf>
    <xf numFmtId="0" fontId="17" fillId="9" borderId="7" xfId="2" applyFont="1" applyFill="1" applyBorder="1" applyAlignment="1">
      <alignment horizontal="center" vertical="center"/>
    </xf>
    <xf numFmtId="0" fontId="17" fillId="9" borderId="7" xfId="2" applyFont="1" applyFill="1" applyBorder="1" applyAlignment="1">
      <alignment horizontal="left" vertical="center"/>
    </xf>
    <xf numFmtId="0" fontId="17" fillId="9" borderId="7" xfId="2" applyNumberFormat="1" applyFont="1" applyFill="1" applyBorder="1" applyAlignment="1">
      <alignment horizontal="center" vertical="center"/>
    </xf>
    <xf numFmtId="49" fontId="17" fillId="9" borderId="7" xfId="2" applyNumberFormat="1" applyFont="1" applyFill="1" applyBorder="1" applyAlignment="1">
      <alignment horizontal="center" vertical="center"/>
    </xf>
    <xf numFmtId="0" fontId="17" fillId="10" borderId="7" xfId="2" applyFont="1" applyFill="1" applyBorder="1" applyAlignment="1">
      <alignment horizontal="center" vertical="center"/>
    </xf>
    <xf numFmtId="0" fontId="17" fillId="11" borderId="7" xfId="2" applyFont="1" applyFill="1" applyBorder="1" applyAlignment="1">
      <alignment horizontal="center" vertical="center"/>
    </xf>
    <xf numFmtId="0" fontId="16" fillId="2" borderId="11" xfId="2" applyFont="1" applyBorder="1" applyAlignment="1">
      <alignment horizontal="center" vertical="center"/>
    </xf>
    <xf numFmtId="0" fontId="16" fillId="2" borderId="7" xfId="2" applyFont="1" applyBorder="1" applyAlignment="1">
      <alignment horizontal="center" vertical="center"/>
    </xf>
    <xf numFmtId="0" fontId="16" fillId="0" borderId="0" xfId="2" applyFont="1" applyFill="1" applyAlignment="1">
      <alignment vertical="center"/>
    </xf>
    <xf numFmtId="0" fontId="18" fillId="0" borderId="7" xfId="2" applyFont="1" applyFill="1" applyBorder="1" applyAlignment="1">
      <alignment horizontal="center" vertical="center"/>
    </xf>
    <xf numFmtId="0" fontId="19" fillId="0" borderId="12" xfId="3" applyBorder="1" applyAlignment="1">
      <alignment horizontal="left" vertical="top"/>
    </xf>
    <xf numFmtId="0" fontId="20" fillId="0" borderId="13" xfId="3" applyFont="1" applyBorder="1" applyAlignment="1">
      <alignment horizontal="left" vertical="top"/>
    </xf>
    <xf numFmtId="0" fontId="21" fillId="12" borderId="12" xfId="3" applyFont="1" applyFill="1" applyBorder="1" applyAlignment="1">
      <alignment horizontal="left"/>
    </xf>
    <xf numFmtId="0" fontId="22" fillId="12" borderId="12" xfId="3" applyFont="1" applyFill="1" applyBorder="1" applyAlignment="1">
      <alignment horizontal="left" vertical="top"/>
    </xf>
    <xf numFmtId="43" fontId="22" fillId="0" borderId="12" xfId="1" applyFont="1" applyBorder="1" applyAlignment="1">
      <alignment horizontal="left" vertical="top"/>
    </xf>
    <xf numFmtId="20" fontId="23" fillId="0" borderId="14" xfId="0" applyNumberFormat="1" applyFont="1" applyBorder="1" applyAlignment="1">
      <alignment vertical="center" wrapText="1"/>
    </xf>
    <xf numFmtId="0" fontId="23" fillId="0" borderId="15" xfId="0" applyFont="1" applyBorder="1"/>
    <xf numFmtId="49" fontId="23" fillId="0" borderId="14" xfId="1" applyNumberFormat="1" applyFont="1" applyBorder="1" applyAlignment="1">
      <alignment vertical="center" wrapText="1"/>
    </xf>
    <xf numFmtId="49" fontId="23" fillId="0" borderId="14" xfId="0" applyNumberFormat="1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3" fillId="0" borderId="0" xfId="0" applyFont="1"/>
    <xf numFmtId="0" fontId="23" fillId="0" borderId="14" xfId="0" applyFont="1" applyBorder="1"/>
    <xf numFmtId="0" fontId="21" fillId="13" borderId="16" xfId="3" applyFont="1" applyFill="1" applyBorder="1" applyAlignment="1">
      <alignment horizontal="left"/>
    </xf>
    <xf numFmtId="0" fontId="22" fillId="13" borderId="12" xfId="3" applyFont="1" applyFill="1" applyBorder="1" applyAlignment="1">
      <alignment horizontal="left" vertical="top"/>
    </xf>
    <xf numFmtId="20" fontId="23" fillId="0" borderId="15" xfId="0" applyNumberFormat="1" applyFont="1" applyBorder="1" applyAlignment="1">
      <alignment vertical="center" wrapText="1"/>
    </xf>
    <xf numFmtId="49" fontId="23" fillId="0" borderId="15" xfId="1" applyNumberFormat="1" applyFont="1" applyBorder="1" applyAlignment="1">
      <alignment vertical="center" wrapText="1"/>
    </xf>
    <xf numFmtId="49" fontId="23" fillId="0" borderId="15" xfId="0" applyNumberFormat="1" applyFont="1" applyBorder="1" applyAlignment="1">
      <alignment vertical="center" wrapText="1"/>
    </xf>
    <xf numFmtId="0" fontId="24" fillId="0" borderId="15" xfId="0" applyFont="1" applyBorder="1" applyAlignment="1">
      <alignment vertical="center" wrapText="1"/>
    </xf>
    <xf numFmtId="0" fontId="19" fillId="0" borderId="13" xfId="3" applyBorder="1" applyAlignment="1">
      <alignment horizontal="left" vertical="top"/>
    </xf>
    <xf numFmtId="0" fontId="25" fillId="0" borderId="16" xfId="3" applyFont="1" applyBorder="1" applyAlignment="1">
      <alignment horizontal="left"/>
    </xf>
    <xf numFmtId="0" fontId="19" fillId="8" borderId="12" xfId="3" applyFill="1" applyBorder="1" applyAlignment="1">
      <alignment horizontal="left" vertical="top"/>
    </xf>
    <xf numFmtId="0" fontId="26" fillId="14" borderId="13" xfId="4" applyFont="1" applyFill="1" applyBorder="1" applyAlignment="1">
      <alignment horizontal="left" vertical="top"/>
    </xf>
    <xf numFmtId="0" fontId="22" fillId="8" borderId="12" xfId="3" applyFont="1" applyFill="1" applyBorder="1" applyAlignment="1">
      <alignment horizontal="left" vertical="top"/>
    </xf>
    <xf numFmtId="21" fontId="22" fillId="0" borderId="17" xfId="3" applyNumberFormat="1" applyFont="1" applyBorder="1" applyAlignment="1">
      <alignment horizontal="left" vertical="top"/>
    </xf>
    <xf numFmtId="0" fontId="22" fillId="8" borderId="17" xfId="3" applyFont="1" applyFill="1" applyBorder="1" applyAlignment="1">
      <alignment horizontal="left" vertical="top"/>
    </xf>
    <xf numFmtId="0" fontId="22" fillId="0" borderId="17" xfId="3" applyFont="1" applyBorder="1" applyAlignment="1">
      <alignment horizontal="left" vertical="top"/>
    </xf>
    <xf numFmtId="0" fontId="21" fillId="8" borderId="18" xfId="3" applyFont="1" applyFill="1" applyBorder="1" applyAlignment="1">
      <alignment horizontal="left" vertical="top"/>
    </xf>
    <xf numFmtId="0" fontId="21" fillId="8" borderId="17" xfId="3" applyFont="1" applyFill="1" applyBorder="1" applyAlignment="1">
      <alignment horizontal="left" vertical="top"/>
    </xf>
    <xf numFmtId="0" fontId="21" fillId="0" borderId="16" xfId="3" applyFont="1" applyBorder="1" applyAlignment="1">
      <alignment horizontal="left"/>
    </xf>
    <xf numFmtId="0" fontId="27" fillId="15" borderId="0" xfId="3" applyFont="1" applyFill="1" applyAlignment="1">
      <alignment horizontal="left"/>
    </xf>
    <xf numFmtId="0" fontId="27" fillId="15" borderId="0" xfId="3" applyFont="1" applyFill="1"/>
    <xf numFmtId="0" fontId="25" fillId="13" borderId="12" xfId="3" applyFont="1" applyFill="1" applyBorder="1" applyAlignment="1">
      <alignment horizontal="left" vertical="top"/>
    </xf>
    <xf numFmtId="0" fontId="25" fillId="13" borderId="17" xfId="3" applyFont="1" applyFill="1" applyBorder="1" applyAlignment="1">
      <alignment horizontal="left" vertical="top"/>
    </xf>
    <xf numFmtId="21" fontId="25" fillId="13" borderId="17" xfId="3" applyNumberFormat="1" applyFont="1" applyFill="1" applyBorder="1" applyAlignment="1">
      <alignment horizontal="left" vertical="top"/>
    </xf>
    <xf numFmtId="0" fontId="25" fillId="13" borderId="17" xfId="3" quotePrefix="1" applyFont="1" applyFill="1" applyBorder="1" applyAlignment="1">
      <alignment horizontal="left" vertical="top"/>
    </xf>
    <xf numFmtId="0" fontId="25" fillId="13" borderId="16" xfId="3" applyFont="1" applyFill="1" applyBorder="1" applyAlignment="1">
      <alignment horizontal="left"/>
    </xf>
    <xf numFmtId="43" fontId="22" fillId="13" borderId="12" xfId="1" applyFont="1" applyFill="1" applyBorder="1" applyAlignment="1">
      <alignment horizontal="left" vertical="top"/>
    </xf>
    <xf numFmtId="0" fontId="20" fillId="13" borderId="13" xfId="4" applyFont="1" applyFill="1" applyBorder="1" applyAlignment="1">
      <alignment horizontal="left" vertical="top"/>
    </xf>
    <xf numFmtId="0" fontId="25" fillId="16" borderId="17" xfId="3" applyFont="1" applyFill="1" applyBorder="1" applyAlignment="1">
      <alignment horizontal="left" vertical="top"/>
    </xf>
    <xf numFmtId="0" fontId="25" fillId="16" borderId="16" xfId="3" applyFont="1" applyFill="1" applyBorder="1" applyAlignment="1">
      <alignment horizontal="left"/>
    </xf>
    <xf numFmtId="0" fontId="25" fillId="13" borderId="18" xfId="3" applyFont="1" applyFill="1" applyBorder="1" applyAlignment="1">
      <alignment horizontal="left" vertical="top"/>
    </xf>
    <xf numFmtId="21" fontId="25" fillId="13" borderId="18" xfId="3" applyNumberFormat="1" applyFont="1" applyFill="1" applyBorder="1" applyAlignment="1">
      <alignment horizontal="left" vertical="top"/>
    </xf>
    <xf numFmtId="0" fontId="28" fillId="17" borderId="17" xfId="5" applyBorder="1" applyAlignment="1">
      <alignment horizontal="left" vertical="top"/>
    </xf>
    <xf numFmtId="0" fontId="19" fillId="12" borderId="12" xfId="3" applyFill="1" applyBorder="1" applyAlignment="1">
      <alignment horizontal="left" vertical="top"/>
    </xf>
    <xf numFmtId="0" fontId="25" fillId="13" borderId="16" xfId="3" applyFont="1" applyFill="1" applyBorder="1" applyAlignment="1">
      <alignment horizontal="left" vertical="top"/>
    </xf>
    <xf numFmtId="0" fontId="28" fillId="17" borderId="17" xfId="5" quotePrefix="1" applyBorder="1" applyAlignment="1">
      <alignment horizontal="left" vertical="top"/>
    </xf>
    <xf numFmtId="0" fontId="9" fillId="8" borderId="0" xfId="0" applyFont="1" applyFill="1" applyAlignment="1">
      <alignment horizontal="center" vertical="top"/>
    </xf>
    <xf numFmtId="0" fontId="5" fillId="8" borderId="12" xfId="3" applyFont="1" applyFill="1" applyBorder="1" applyAlignment="1">
      <alignment horizontal="left" vertical="top"/>
    </xf>
    <xf numFmtId="0" fontId="4" fillId="0" borderId="12" xfId="3" applyFont="1" applyBorder="1" applyAlignment="1">
      <alignment horizontal="left" vertical="top"/>
    </xf>
    <xf numFmtId="0" fontId="3" fillId="0" borderId="12" xfId="3" applyFont="1" applyBorder="1" applyAlignment="1">
      <alignment horizontal="left" vertical="top"/>
    </xf>
    <xf numFmtId="0" fontId="2" fillId="0" borderId="12" xfId="3" applyFont="1" applyBorder="1" applyAlignment="1">
      <alignment horizontal="left" vertical="top"/>
    </xf>
    <xf numFmtId="0" fontId="1" fillId="0" borderId="12" xfId="3" applyFont="1" applyBorder="1" applyAlignment="1">
      <alignment horizontal="left" vertical="top"/>
    </xf>
    <xf numFmtId="0" fontId="25" fillId="13" borderId="19" xfId="3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</cellXfs>
  <cellStyles count="6">
    <cellStyle name="40% - Accent3" xfId="2" builtinId="39"/>
    <cellStyle name="Bad" xfId="5" builtinId="27"/>
    <cellStyle name="Comma" xfId="1" builtinId="3"/>
    <cellStyle name="Normal" xfId="0" builtinId="0"/>
    <cellStyle name="Normal 2" xfId="4" xr:uid="{C5251EE6-CB2E-4DB3-8DFB-6A5BBD4A4DE6}"/>
    <cellStyle name="Normal 2 2" xfId="3" xr:uid="{765323A4-E082-4951-A2FD-7C16C031C5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2CE1-54F7-4063-A8D1-60D88CEBF62D}">
  <dimension ref="A1:DB17"/>
  <sheetViews>
    <sheetView tabSelected="1" topLeftCell="AL1" workbookViewId="0">
      <selection activeCell="AY5" sqref="AY5"/>
    </sheetView>
  </sheetViews>
  <sheetFormatPr defaultRowHeight="16.5" x14ac:dyDescent="0.3"/>
  <cols>
    <col min="1" max="1" width="4.125" customWidth="1"/>
    <col min="2" max="2" width="13.5" customWidth="1"/>
    <col min="3" max="3" width="35.125" customWidth="1"/>
    <col min="4" max="4" width="9.375" bestFit="1" customWidth="1"/>
    <col min="5" max="5" width="8.875" bestFit="1" customWidth="1"/>
    <col min="6" max="6" width="32.5" customWidth="1"/>
    <col min="7" max="7" width="11.625" bestFit="1" customWidth="1"/>
    <col min="8" max="8" width="18" bestFit="1" customWidth="1"/>
    <col min="9" max="9" width="8.125" bestFit="1" customWidth="1"/>
    <col min="10" max="10" width="11" bestFit="1" customWidth="1"/>
    <col min="12" max="12" width="13" bestFit="1" customWidth="1"/>
    <col min="13" max="13" width="11.25" bestFit="1" customWidth="1"/>
    <col min="14" max="14" width="21.375" bestFit="1" customWidth="1"/>
    <col min="15" max="15" width="19.75" bestFit="1" customWidth="1"/>
    <col min="16" max="16" width="27.5" bestFit="1" customWidth="1"/>
    <col min="17" max="17" width="25.125" bestFit="1" customWidth="1"/>
    <col min="18" max="18" width="11" bestFit="1" customWidth="1"/>
    <col min="19" max="19" width="21.75" customWidth="1"/>
    <col min="20" max="20" width="12.625" customWidth="1"/>
    <col min="21" max="21" width="31.125" bestFit="1" customWidth="1"/>
    <col min="22" max="22" width="16.5" bestFit="1" customWidth="1"/>
    <col min="23" max="23" width="25.375" bestFit="1" customWidth="1"/>
    <col min="24" max="24" width="8.5" bestFit="1" customWidth="1"/>
    <col min="25" max="25" width="15.375" bestFit="1" customWidth="1"/>
    <col min="26" max="26" width="14.875" bestFit="1" customWidth="1"/>
    <col min="27" max="27" width="15.375" bestFit="1" customWidth="1"/>
    <col min="28" max="28" width="16.875" bestFit="1" customWidth="1"/>
    <col min="29" max="29" width="19.5" bestFit="1" customWidth="1"/>
    <col min="30" max="30" width="24.625" customWidth="1"/>
    <col min="31" max="31" width="24" bestFit="1" customWidth="1"/>
    <col min="32" max="32" width="27.75" bestFit="1" customWidth="1"/>
    <col min="33" max="33" width="17.375" bestFit="1" customWidth="1"/>
    <col min="34" max="34" width="18.25" bestFit="1" customWidth="1"/>
    <col min="35" max="35" width="24" bestFit="1" customWidth="1"/>
    <col min="36" max="36" width="16.25" bestFit="1" customWidth="1"/>
    <col min="37" max="37" width="18" bestFit="1" customWidth="1"/>
    <col min="38" max="38" width="27.5" bestFit="1" customWidth="1"/>
    <col min="39" max="39" width="21.375" bestFit="1" customWidth="1"/>
    <col min="40" max="40" width="15.25" bestFit="1" customWidth="1"/>
    <col min="41" max="41" width="29" bestFit="1" customWidth="1"/>
    <col min="42" max="42" width="22" bestFit="1" customWidth="1"/>
    <col min="43" max="43" width="8.125" bestFit="1" customWidth="1"/>
    <col min="44" max="44" width="11" bestFit="1" customWidth="1"/>
    <col min="45" max="45" width="14.375" bestFit="1" customWidth="1"/>
    <col min="46" max="46" width="23.375" bestFit="1" customWidth="1"/>
    <col min="47" max="47" width="23.125" bestFit="1" customWidth="1"/>
    <col min="48" max="48" width="17.5" bestFit="1" customWidth="1"/>
    <col min="49" max="49" width="14.125" bestFit="1" customWidth="1"/>
    <col min="50" max="50" width="18.75" bestFit="1" customWidth="1"/>
    <col min="51" max="51" width="23.375" customWidth="1"/>
    <col min="52" max="52" width="24.75" bestFit="1" customWidth="1"/>
    <col min="53" max="53" width="12.625" bestFit="1" customWidth="1"/>
    <col min="54" max="55" width="12.625" customWidth="1"/>
    <col min="56" max="56" width="25.375" bestFit="1" customWidth="1"/>
    <col min="57" max="57" width="22.375" bestFit="1" customWidth="1"/>
    <col min="58" max="58" width="13.5" bestFit="1" customWidth="1"/>
    <col min="59" max="59" width="15.125" bestFit="1" customWidth="1"/>
    <col min="60" max="60" width="13.375" bestFit="1" customWidth="1"/>
    <col min="61" max="61" width="14.375" bestFit="1" customWidth="1"/>
    <col min="62" max="62" width="15.375" bestFit="1" customWidth="1"/>
    <col min="63" max="63" width="17.875" customWidth="1"/>
    <col min="64" max="64" width="12.625" customWidth="1"/>
    <col min="65" max="65" width="27.375" bestFit="1" customWidth="1"/>
    <col min="66" max="66" width="24.375" bestFit="1" customWidth="1"/>
    <col min="67" max="73" width="12.625" customWidth="1"/>
    <col min="74" max="74" width="27.375" bestFit="1" customWidth="1"/>
    <col min="75" max="75" width="24.375" bestFit="1" customWidth="1"/>
    <col min="76" max="87" width="12.625" customWidth="1"/>
    <col min="88" max="88" width="15.75" bestFit="1" customWidth="1"/>
    <col min="89" max="95" width="12.625" customWidth="1"/>
    <col min="96" max="96" width="15.75" bestFit="1" customWidth="1"/>
    <col min="97" max="97" width="17.75" bestFit="1" customWidth="1"/>
    <col min="98" max="98" width="19.625" customWidth="1"/>
  </cols>
  <sheetData>
    <row r="1" spans="1:106" s="2" customFormat="1" ht="29.25" customHeight="1" x14ac:dyDescent="0.3">
      <c r="A1" s="1" t="s">
        <v>0</v>
      </c>
    </row>
    <row r="2" spans="1:106" ht="6.75" customHeight="1" x14ac:dyDescent="0.3"/>
    <row r="3" spans="1:106" s="5" customFormat="1" x14ac:dyDescent="0.3">
      <c r="A3" s="3" t="s">
        <v>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80">
        <v>28</v>
      </c>
      <c r="AD3" s="80">
        <v>29</v>
      </c>
      <c r="AE3" s="4">
        <v>30</v>
      </c>
      <c r="AF3" s="80">
        <v>31</v>
      </c>
      <c r="AG3" s="4">
        <v>32</v>
      </c>
      <c r="AH3" s="4">
        <v>33</v>
      </c>
      <c r="AI3" s="4">
        <v>34</v>
      </c>
      <c r="AJ3" s="4">
        <v>35</v>
      </c>
      <c r="AK3" s="4">
        <v>36</v>
      </c>
      <c r="AL3" s="4">
        <v>37</v>
      </c>
      <c r="AM3" s="4">
        <v>38</v>
      </c>
      <c r="AN3" s="4">
        <v>39</v>
      </c>
      <c r="AO3" s="4">
        <v>40</v>
      </c>
      <c r="AP3" s="4">
        <v>41</v>
      </c>
      <c r="AQ3" s="4">
        <v>42</v>
      </c>
      <c r="AR3" s="4">
        <v>43</v>
      </c>
      <c r="AS3" s="4">
        <v>44</v>
      </c>
      <c r="AT3" s="4">
        <v>45</v>
      </c>
      <c r="AU3" s="4">
        <v>46</v>
      </c>
      <c r="AV3" s="4">
        <v>47</v>
      </c>
      <c r="AW3" s="4">
        <v>48</v>
      </c>
      <c r="AX3" s="4">
        <v>49</v>
      </c>
      <c r="AY3" s="80">
        <v>50</v>
      </c>
      <c r="AZ3" s="80">
        <v>51</v>
      </c>
      <c r="BA3" s="4">
        <v>52</v>
      </c>
      <c r="BB3" s="4">
        <v>53</v>
      </c>
      <c r="BC3" s="4">
        <v>54</v>
      </c>
      <c r="BD3" s="4">
        <v>55</v>
      </c>
      <c r="BE3" s="4">
        <v>56</v>
      </c>
      <c r="BF3" s="4">
        <v>57</v>
      </c>
      <c r="BG3" s="4">
        <v>58</v>
      </c>
      <c r="BH3" s="4">
        <v>59</v>
      </c>
      <c r="BI3" s="4">
        <v>60</v>
      </c>
      <c r="BJ3" s="4">
        <v>61</v>
      </c>
      <c r="BK3" s="4">
        <v>62</v>
      </c>
      <c r="BL3" s="4">
        <v>63</v>
      </c>
      <c r="BM3" s="4">
        <v>64</v>
      </c>
      <c r="BN3" s="4">
        <v>65</v>
      </c>
      <c r="BO3" s="4">
        <v>66</v>
      </c>
      <c r="BP3" s="4">
        <v>67</v>
      </c>
      <c r="BQ3" s="4">
        <v>68</v>
      </c>
      <c r="BR3" s="4">
        <v>69</v>
      </c>
      <c r="BS3" s="4">
        <v>70</v>
      </c>
      <c r="BT3" s="4">
        <v>71</v>
      </c>
      <c r="BU3" s="4">
        <v>72</v>
      </c>
      <c r="BV3" s="4">
        <v>73</v>
      </c>
      <c r="BW3" s="4">
        <v>74</v>
      </c>
      <c r="BX3" s="4">
        <v>75</v>
      </c>
      <c r="BY3" s="4">
        <v>76</v>
      </c>
      <c r="BZ3" s="4">
        <v>77</v>
      </c>
      <c r="CA3" s="4">
        <v>78</v>
      </c>
      <c r="CB3" s="4">
        <v>79</v>
      </c>
      <c r="CC3" s="4">
        <v>80</v>
      </c>
      <c r="CD3" s="4">
        <v>81</v>
      </c>
      <c r="CE3" s="4">
        <v>82</v>
      </c>
      <c r="CF3" s="4">
        <v>83</v>
      </c>
      <c r="CG3" s="4">
        <v>84</v>
      </c>
      <c r="CH3" s="4">
        <v>85</v>
      </c>
      <c r="CI3" s="4">
        <v>86</v>
      </c>
      <c r="CJ3" s="4">
        <v>87</v>
      </c>
      <c r="CK3" s="4">
        <v>88</v>
      </c>
      <c r="CL3" s="4">
        <v>89</v>
      </c>
      <c r="CM3" s="4">
        <v>90</v>
      </c>
      <c r="CN3" s="4">
        <v>91</v>
      </c>
      <c r="CO3" s="4">
        <v>92</v>
      </c>
      <c r="CP3" s="4">
        <v>93</v>
      </c>
      <c r="CQ3" s="4">
        <v>94</v>
      </c>
      <c r="CR3" s="4">
        <v>95</v>
      </c>
      <c r="CS3" s="4">
        <v>96</v>
      </c>
      <c r="CT3" s="4">
        <v>97</v>
      </c>
      <c r="CU3" s="4">
        <v>98</v>
      </c>
    </row>
    <row r="4" spans="1:106" s="6" customFormat="1" ht="15" x14ac:dyDescent="0.25">
      <c r="N4" s="87" t="s">
        <v>2</v>
      </c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9"/>
      <c r="AH4" s="7" t="s">
        <v>3</v>
      </c>
      <c r="AI4" s="7"/>
      <c r="AJ4" s="7"/>
      <c r="AK4" s="8" t="s">
        <v>4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0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11" t="s">
        <v>5</v>
      </c>
      <c r="CT4" s="12"/>
      <c r="CU4" s="12"/>
      <c r="CW4" s="90" t="s">
        <v>6</v>
      </c>
      <c r="CX4" s="90"/>
      <c r="CY4" s="90"/>
      <c r="CZ4" s="90"/>
      <c r="DA4" s="90"/>
      <c r="DB4" s="90"/>
    </row>
    <row r="5" spans="1:106" s="32" customFormat="1" ht="18.75" customHeight="1" x14ac:dyDescent="0.3">
      <c r="A5" s="13"/>
      <c r="B5" s="14" t="s">
        <v>7</v>
      </c>
      <c r="C5" s="14" t="s">
        <v>8</v>
      </c>
      <c r="D5" s="14" t="s">
        <v>9</v>
      </c>
      <c r="E5" s="14" t="s">
        <v>10</v>
      </c>
      <c r="F5" s="14" t="s">
        <v>11</v>
      </c>
      <c r="G5" s="14" t="s">
        <v>12</v>
      </c>
      <c r="H5" s="14" t="s">
        <v>13</v>
      </c>
      <c r="I5" s="14" t="s">
        <v>14</v>
      </c>
      <c r="J5" s="14" t="s">
        <v>15</v>
      </c>
      <c r="K5" s="14" t="s">
        <v>16</v>
      </c>
      <c r="L5" s="14" t="s">
        <v>17</v>
      </c>
      <c r="M5" s="15" t="s">
        <v>18</v>
      </c>
      <c r="N5" s="16" t="s">
        <v>19</v>
      </c>
      <c r="O5" s="17" t="s">
        <v>20</v>
      </c>
      <c r="P5" s="17" t="s">
        <v>21</v>
      </c>
      <c r="Q5" s="17" t="s">
        <v>22</v>
      </c>
      <c r="R5" s="17" t="s">
        <v>23</v>
      </c>
      <c r="S5" s="17" t="s">
        <v>24</v>
      </c>
      <c r="T5" s="17" t="s">
        <v>25</v>
      </c>
      <c r="U5" s="18" t="s">
        <v>26</v>
      </c>
      <c r="V5" s="18" t="s">
        <v>27</v>
      </c>
      <c r="W5" s="18" t="s">
        <v>28</v>
      </c>
      <c r="X5" s="17" t="s">
        <v>29</v>
      </c>
      <c r="Y5" s="17" t="s">
        <v>30</v>
      </c>
      <c r="Z5" s="18" t="s">
        <v>31</v>
      </c>
      <c r="AA5" s="18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8" t="s">
        <v>37</v>
      </c>
      <c r="AG5" s="19" t="s">
        <v>38</v>
      </c>
      <c r="AH5" s="20" t="s">
        <v>39</v>
      </c>
      <c r="AI5" s="21" t="s">
        <v>40</v>
      </c>
      <c r="AJ5" s="22" t="s">
        <v>41</v>
      </c>
      <c r="AK5" s="16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23" t="s">
        <v>47</v>
      </c>
      <c r="AQ5" s="23" t="s">
        <v>48</v>
      </c>
      <c r="AR5" s="23" t="s">
        <v>49</v>
      </c>
      <c r="AS5" s="18" t="s">
        <v>50</v>
      </c>
      <c r="AT5" s="18" t="s">
        <v>51</v>
      </c>
      <c r="AU5" s="18" t="s">
        <v>52</v>
      </c>
      <c r="AV5" s="17" t="s">
        <v>53</v>
      </c>
      <c r="AW5" s="17" t="s">
        <v>54</v>
      </c>
      <c r="AX5" s="18" t="s">
        <v>55</v>
      </c>
      <c r="AY5" s="18" t="s">
        <v>56</v>
      </c>
      <c r="AZ5" s="18" t="s">
        <v>57</v>
      </c>
      <c r="BA5" s="19" t="s">
        <v>58</v>
      </c>
      <c r="BB5" s="24" t="s">
        <v>59</v>
      </c>
      <c r="BC5" s="24" t="s">
        <v>60</v>
      </c>
      <c r="BD5" s="25" t="s">
        <v>61</v>
      </c>
      <c r="BE5" s="25" t="s">
        <v>62</v>
      </c>
      <c r="BF5" s="26" t="s">
        <v>63</v>
      </c>
      <c r="BG5" s="27" t="s">
        <v>64</v>
      </c>
      <c r="BH5" s="24" t="s">
        <v>65</v>
      </c>
      <c r="BI5" s="24" t="s">
        <v>66</v>
      </c>
      <c r="BJ5" s="24" t="s">
        <v>67</v>
      </c>
      <c r="BK5" s="28" t="s">
        <v>68</v>
      </c>
      <c r="BL5" s="28" t="s">
        <v>69</v>
      </c>
      <c r="BM5" s="28" t="s">
        <v>70</v>
      </c>
      <c r="BN5" s="28" t="s">
        <v>71</v>
      </c>
      <c r="BO5" s="28" t="s">
        <v>72</v>
      </c>
      <c r="BP5" s="28" t="s">
        <v>73</v>
      </c>
      <c r="BQ5" s="28" t="s">
        <v>74</v>
      </c>
      <c r="BR5" s="28" t="s">
        <v>75</v>
      </c>
      <c r="BS5" s="28" t="s">
        <v>76</v>
      </c>
      <c r="BT5" s="24" t="s">
        <v>77</v>
      </c>
      <c r="BU5" s="24" t="s">
        <v>78</v>
      </c>
      <c r="BV5" s="24" t="s">
        <v>79</v>
      </c>
      <c r="BW5" s="24" t="s">
        <v>80</v>
      </c>
      <c r="BX5" s="24" t="s">
        <v>81</v>
      </c>
      <c r="BY5" s="24" t="s">
        <v>82</v>
      </c>
      <c r="BZ5" s="24" t="s">
        <v>83</v>
      </c>
      <c r="CA5" s="24" t="s">
        <v>84</v>
      </c>
      <c r="CB5" s="24" t="s">
        <v>85</v>
      </c>
      <c r="CC5" s="28" t="s">
        <v>86</v>
      </c>
      <c r="CD5" s="28" t="s">
        <v>87</v>
      </c>
      <c r="CE5" s="28" t="s">
        <v>88</v>
      </c>
      <c r="CF5" s="28" t="s">
        <v>89</v>
      </c>
      <c r="CG5" s="28" t="s">
        <v>90</v>
      </c>
      <c r="CH5" s="28" t="s">
        <v>91</v>
      </c>
      <c r="CI5" s="28" t="s">
        <v>92</v>
      </c>
      <c r="CJ5" s="28" t="s">
        <v>93</v>
      </c>
      <c r="CK5" s="29" t="s">
        <v>94</v>
      </c>
      <c r="CL5" s="29" t="s">
        <v>95</v>
      </c>
      <c r="CM5" s="29" t="s">
        <v>96</v>
      </c>
      <c r="CN5" s="29" t="s">
        <v>97</v>
      </c>
      <c r="CO5" s="29" t="s">
        <v>98</v>
      </c>
      <c r="CP5" s="29" t="s">
        <v>99</v>
      </c>
      <c r="CQ5" s="29" t="s">
        <v>100</v>
      </c>
      <c r="CR5" s="29" t="s">
        <v>101</v>
      </c>
      <c r="CS5" s="30" t="s">
        <v>102</v>
      </c>
      <c r="CT5" s="31" t="s">
        <v>103</v>
      </c>
      <c r="CU5" s="31" t="s">
        <v>104</v>
      </c>
      <c r="CW5" s="33" t="s">
        <v>105</v>
      </c>
      <c r="CX5" s="33" t="s">
        <v>106</v>
      </c>
      <c r="CY5" s="33" t="s">
        <v>107</v>
      </c>
      <c r="CZ5" s="33" t="s">
        <v>108</v>
      </c>
      <c r="DA5" s="33" t="s">
        <v>109</v>
      </c>
      <c r="DB5" s="33" t="s">
        <v>110</v>
      </c>
    </row>
    <row r="6" spans="1:106" s="44" customFormat="1" ht="15" x14ac:dyDescent="0.25">
      <c r="A6" s="77"/>
      <c r="B6" s="77" t="s">
        <v>111</v>
      </c>
      <c r="C6" s="35" t="s">
        <v>112</v>
      </c>
      <c r="D6" s="83" t="s">
        <v>113</v>
      </c>
      <c r="E6" s="34" t="s">
        <v>114</v>
      </c>
      <c r="F6" s="82" t="s">
        <v>262</v>
      </c>
      <c r="G6" s="34" t="s">
        <v>115</v>
      </c>
      <c r="H6" s="34" t="s">
        <v>116</v>
      </c>
      <c r="I6" s="34" t="s">
        <v>113</v>
      </c>
      <c r="J6" s="34" t="s">
        <v>117</v>
      </c>
      <c r="K6" s="34"/>
      <c r="L6" s="34" t="s">
        <v>118</v>
      </c>
      <c r="M6" s="34" t="s">
        <v>119</v>
      </c>
      <c r="N6" s="34" t="s">
        <v>120</v>
      </c>
      <c r="O6" s="34" t="s">
        <v>121</v>
      </c>
      <c r="P6" s="34" t="s">
        <v>122</v>
      </c>
      <c r="Q6" s="34" t="s">
        <v>123</v>
      </c>
      <c r="R6" s="34" t="s">
        <v>124</v>
      </c>
      <c r="S6" s="34" t="s">
        <v>125</v>
      </c>
      <c r="T6" s="34" t="s">
        <v>126</v>
      </c>
      <c r="U6" s="34" t="s">
        <v>127</v>
      </c>
      <c r="V6" s="34" t="s">
        <v>128</v>
      </c>
      <c r="W6" s="34" t="s">
        <v>129</v>
      </c>
      <c r="X6" s="34" t="s">
        <v>130</v>
      </c>
      <c r="Y6" s="34" t="s">
        <v>131</v>
      </c>
      <c r="Z6" s="34" t="s">
        <v>132</v>
      </c>
      <c r="AA6" s="34" t="s">
        <v>133</v>
      </c>
      <c r="AB6" s="34" t="s">
        <v>134</v>
      </c>
      <c r="AC6" s="36">
        <v>390.4</v>
      </c>
      <c r="AD6" s="37" t="s">
        <v>135</v>
      </c>
      <c r="AE6" s="38">
        <f>+AC6-AD6</f>
        <v>190.39999999999998</v>
      </c>
      <c r="AF6" s="34" t="s">
        <v>136</v>
      </c>
      <c r="AG6" s="34"/>
      <c r="AH6" s="37" t="s">
        <v>137</v>
      </c>
      <c r="AI6" s="34" t="s">
        <v>138</v>
      </c>
      <c r="AJ6" s="34" t="s">
        <v>139</v>
      </c>
      <c r="AK6" s="34"/>
      <c r="AL6" s="34" t="s">
        <v>140</v>
      </c>
      <c r="AM6" s="34"/>
      <c r="AN6" s="34" t="s">
        <v>141</v>
      </c>
      <c r="AO6" s="34" t="s">
        <v>142</v>
      </c>
      <c r="AP6" s="34"/>
      <c r="AQ6" s="34"/>
      <c r="AR6" s="34"/>
      <c r="AS6" s="34"/>
      <c r="AT6" s="34" t="s">
        <v>143</v>
      </c>
      <c r="AU6" s="34"/>
      <c r="AV6" s="34"/>
      <c r="AW6" s="34" t="s">
        <v>133</v>
      </c>
      <c r="AX6" s="34" t="s">
        <v>134</v>
      </c>
      <c r="AY6" s="34" t="s">
        <v>135</v>
      </c>
      <c r="AZ6" s="34" t="s">
        <v>136</v>
      </c>
      <c r="BA6" s="40"/>
      <c r="BB6" s="54" t="s">
        <v>144</v>
      </c>
      <c r="BC6" s="34" t="s">
        <v>145</v>
      </c>
      <c r="BD6" s="54" t="s">
        <v>146</v>
      </c>
      <c r="BE6" s="39" t="s">
        <v>124</v>
      </c>
      <c r="BF6" s="41"/>
      <c r="BG6" s="41"/>
      <c r="BH6" s="42"/>
      <c r="BI6" s="54">
        <v>78.400000000000006</v>
      </c>
      <c r="BJ6" s="34" t="s">
        <v>133</v>
      </c>
      <c r="BK6" s="34" t="s">
        <v>147</v>
      </c>
      <c r="BL6" s="34" t="s">
        <v>145</v>
      </c>
      <c r="BM6" s="34" t="s">
        <v>146</v>
      </c>
      <c r="BN6" s="39" t="s">
        <v>124</v>
      </c>
      <c r="BO6" s="39"/>
      <c r="BP6" s="39"/>
      <c r="BQ6" s="39"/>
      <c r="BR6" s="34">
        <v>112</v>
      </c>
      <c r="BS6" s="83" t="s">
        <v>138</v>
      </c>
      <c r="BT6" s="42"/>
      <c r="BU6" s="42"/>
      <c r="BV6" s="42"/>
      <c r="BW6" s="42"/>
      <c r="BX6" s="42"/>
      <c r="BY6" s="42"/>
      <c r="BZ6" s="42"/>
      <c r="CA6" s="42"/>
      <c r="CB6" s="42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43"/>
      <c r="CW6" s="45"/>
      <c r="CX6" s="45"/>
      <c r="CY6" s="45"/>
      <c r="CZ6" s="45"/>
      <c r="DA6" s="45"/>
      <c r="DB6" s="45"/>
    </row>
    <row r="7" spans="1:106" s="44" customFormat="1" ht="15" x14ac:dyDescent="0.25">
      <c r="A7" s="77"/>
      <c r="B7" s="77" t="s">
        <v>148</v>
      </c>
      <c r="C7" s="35" t="s">
        <v>149</v>
      </c>
      <c r="D7" s="34" t="s">
        <v>113</v>
      </c>
      <c r="E7" s="34" t="s">
        <v>150</v>
      </c>
      <c r="F7" s="85" t="s">
        <v>151</v>
      </c>
      <c r="G7" s="34" t="s">
        <v>152</v>
      </c>
      <c r="H7" s="34" t="s">
        <v>153</v>
      </c>
      <c r="I7" s="34" t="s">
        <v>113</v>
      </c>
      <c r="J7" s="34" t="s">
        <v>154</v>
      </c>
      <c r="K7" s="34"/>
      <c r="L7" s="34" t="s">
        <v>118</v>
      </c>
      <c r="M7" s="34" t="s">
        <v>119</v>
      </c>
      <c r="N7" s="34" t="s">
        <v>155</v>
      </c>
      <c r="O7" s="34" t="s">
        <v>156</v>
      </c>
      <c r="P7" s="34" t="s">
        <v>122</v>
      </c>
      <c r="Q7" s="34" t="s">
        <v>123</v>
      </c>
      <c r="R7" s="34" t="s">
        <v>124</v>
      </c>
      <c r="S7" s="34" t="s">
        <v>157</v>
      </c>
      <c r="T7" s="34" t="s">
        <v>126</v>
      </c>
      <c r="U7" s="34" t="s">
        <v>158</v>
      </c>
      <c r="V7" s="34" t="s">
        <v>159</v>
      </c>
      <c r="W7" s="34" t="s">
        <v>160</v>
      </c>
      <c r="X7" s="34" t="s">
        <v>130</v>
      </c>
      <c r="Y7" s="34" t="s">
        <v>161</v>
      </c>
      <c r="Z7" s="34" t="s">
        <v>162</v>
      </c>
      <c r="AA7" s="34" t="s">
        <v>163</v>
      </c>
      <c r="AB7" s="34" t="s">
        <v>164</v>
      </c>
      <c r="AC7" s="46">
        <v>17.79</v>
      </c>
      <c r="AD7" s="47" t="s">
        <v>165</v>
      </c>
      <c r="AE7" s="38">
        <f>+AC7-AD7</f>
        <v>15.889999999999999</v>
      </c>
      <c r="AF7" s="34" t="s">
        <v>166</v>
      </c>
      <c r="AG7" s="34"/>
      <c r="AH7" s="47" t="s">
        <v>167</v>
      </c>
      <c r="AI7" s="34" t="s">
        <v>138</v>
      </c>
      <c r="AJ7" s="34" t="s">
        <v>168</v>
      </c>
      <c r="AK7" s="34"/>
      <c r="AL7" s="34" t="s">
        <v>169</v>
      </c>
      <c r="AM7" s="34"/>
      <c r="AN7" s="34" t="s">
        <v>170</v>
      </c>
      <c r="AO7" s="34" t="s">
        <v>171</v>
      </c>
      <c r="AP7" s="34"/>
      <c r="AQ7" s="34"/>
      <c r="AR7" s="34"/>
      <c r="AS7" s="34"/>
      <c r="AT7" s="34" t="s">
        <v>143</v>
      </c>
      <c r="AU7" s="34"/>
      <c r="AV7" s="34"/>
      <c r="AW7" s="34" t="s">
        <v>172</v>
      </c>
      <c r="AX7" s="34" t="s">
        <v>164</v>
      </c>
      <c r="AY7" s="34" t="s">
        <v>135</v>
      </c>
      <c r="AZ7" s="34" t="s">
        <v>173</v>
      </c>
      <c r="BA7" s="40"/>
      <c r="BB7" s="34" t="s">
        <v>144</v>
      </c>
      <c r="BC7" s="34" t="s">
        <v>145</v>
      </c>
      <c r="BD7" s="34" t="s">
        <v>174</v>
      </c>
      <c r="BE7" s="39" t="s">
        <v>124</v>
      </c>
      <c r="BF7" s="49"/>
      <c r="BG7" s="49"/>
      <c r="BH7" s="50"/>
      <c r="BI7" s="34">
        <v>15.89</v>
      </c>
      <c r="BJ7" s="34" t="s">
        <v>163</v>
      </c>
      <c r="BK7" s="34"/>
      <c r="BL7" s="34" t="s">
        <v>145</v>
      </c>
      <c r="BM7" s="34" t="s">
        <v>174</v>
      </c>
      <c r="BN7" s="39" t="s">
        <v>124</v>
      </c>
      <c r="BO7" s="48"/>
      <c r="BP7" s="48"/>
      <c r="BQ7" s="48"/>
      <c r="BR7" s="34"/>
      <c r="BS7" s="34"/>
      <c r="BT7" s="50"/>
      <c r="BU7" s="50"/>
      <c r="BV7" s="50"/>
      <c r="BW7" s="50"/>
      <c r="BX7" s="50"/>
      <c r="BY7" s="50"/>
      <c r="BZ7" s="50"/>
      <c r="CA7" s="50"/>
      <c r="CB7" s="50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51"/>
      <c r="CW7" s="40"/>
      <c r="CX7" s="40"/>
      <c r="CY7" s="40"/>
      <c r="CZ7" s="40"/>
      <c r="DA7" s="40"/>
      <c r="DB7" s="40"/>
    </row>
    <row r="8" spans="1:106" s="44" customFormat="1" ht="15" x14ac:dyDescent="0.25">
      <c r="A8" s="77"/>
      <c r="B8" s="77" t="s">
        <v>175</v>
      </c>
      <c r="C8" s="52" t="s">
        <v>176</v>
      </c>
      <c r="D8" s="34" t="s">
        <v>113</v>
      </c>
      <c r="E8" s="34" t="s">
        <v>177</v>
      </c>
      <c r="F8" s="34" t="s">
        <v>178</v>
      </c>
      <c r="G8" s="34" t="s">
        <v>179</v>
      </c>
      <c r="H8" s="34" t="s">
        <v>180</v>
      </c>
      <c r="I8" s="34" t="s">
        <v>113</v>
      </c>
      <c r="J8" s="34" t="s">
        <v>117</v>
      </c>
      <c r="K8" s="34"/>
      <c r="L8" s="34" t="s">
        <v>118</v>
      </c>
      <c r="M8" s="34" t="s">
        <v>119</v>
      </c>
      <c r="N8" s="34" t="s">
        <v>120</v>
      </c>
      <c r="O8" s="34" t="s">
        <v>121</v>
      </c>
      <c r="P8" s="34" t="s">
        <v>122</v>
      </c>
      <c r="Q8" s="34" t="s">
        <v>123</v>
      </c>
      <c r="R8" s="34" t="s">
        <v>181</v>
      </c>
      <c r="S8" s="34" t="s">
        <v>182</v>
      </c>
      <c r="T8" s="34" t="s">
        <v>126</v>
      </c>
      <c r="U8" s="34" t="s">
        <v>127</v>
      </c>
      <c r="V8" s="34" t="s">
        <v>128</v>
      </c>
      <c r="W8" s="34" t="s">
        <v>129</v>
      </c>
      <c r="X8" s="84" t="s">
        <v>130</v>
      </c>
      <c r="Y8" s="34" t="s">
        <v>183</v>
      </c>
      <c r="Z8" s="34" t="s">
        <v>184</v>
      </c>
      <c r="AA8" s="84" t="s">
        <v>185</v>
      </c>
      <c r="AB8" s="34" t="s">
        <v>186</v>
      </c>
      <c r="AC8" s="53">
        <v>5365.71</v>
      </c>
      <c r="AD8" s="34" t="s">
        <v>187</v>
      </c>
      <c r="AE8" s="38"/>
      <c r="AF8" s="34" t="s">
        <v>187</v>
      </c>
      <c r="AG8" s="34"/>
      <c r="AH8" s="47" t="s">
        <v>188</v>
      </c>
      <c r="AI8" s="34" t="s">
        <v>138</v>
      </c>
      <c r="AJ8" s="34" t="s">
        <v>189</v>
      </c>
      <c r="AK8" s="34"/>
      <c r="AL8" s="34" t="s">
        <v>190</v>
      </c>
      <c r="AM8" s="34"/>
      <c r="AN8" s="34" t="s">
        <v>191</v>
      </c>
      <c r="AO8" s="34" t="s">
        <v>192</v>
      </c>
      <c r="AP8" s="34"/>
      <c r="AQ8" s="34"/>
      <c r="AR8" s="34"/>
      <c r="AS8" s="34"/>
      <c r="AT8" s="34" t="s">
        <v>143</v>
      </c>
      <c r="AU8" s="34"/>
      <c r="AV8" s="34"/>
      <c r="AW8" s="34" t="s">
        <v>163</v>
      </c>
      <c r="AX8" s="34" t="s">
        <v>186</v>
      </c>
      <c r="AY8" s="34" t="s">
        <v>193</v>
      </c>
      <c r="AZ8" s="34" t="s">
        <v>187</v>
      </c>
      <c r="BA8" s="40"/>
      <c r="BB8" s="34" t="s">
        <v>144</v>
      </c>
      <c r="BC8" s="34" t="s">
        <v>145</v>
      </c>
      <c r="BD8" s="34" t="s">
        <v>194</v>
      </c>
      <c r="BE8" s="48" t="s">
        <v>195</v>
      </c>
      <c r="BF8" s="49"/>
      <c r="BG8" s="49"/>
      <c r="BH8" s="50"/>
      <c r="BI8" s="34">
        <v>350</v>
      </c>
      <c r="BJ8" s="34" t="s">
        <v>185</v>
      </c>
      <c r="BK8" s="34"/>
      <c r="BL8" s="34" t="s">
        <v>145</v>
      </c>
      <c r="BM8" s="34" t="s">
        <v>194</v>
      </c>
      <c r="BN8" s="48" t="s">
        <v>195</v>
      </c>
      <c r="BO8" s="48"/>
      <c r="BP8" s="48"/>
      <c r="BQ8" s="48"/>
      <c r="BR8" s="34"/>
      <c r="BS8" s="34"/>
      <c r="BT8" s="50"/>
      <c r="BU8" s="50"/>
      <c r="BV8" s="50"/>
      <c r="BW8" s="50"/>
      <c r="BX8" s="50"/>
      <c r="BY8" s="50"/>
      <c r="BZ8" s="50"/>
      <c r="CA8" s="50"/>
      <c r="CB8" s="50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51"/>
      <c r="CW8" s="40"/>
      <c r="CX8" s="40"/>
      <c r="CY8" s="40"/>
      <c r="CZ8" s="40"/>
      <c r="DA8" s="40"/>
      <c r="DB8" s="40"/>
    </row>
    <row r="9" spans="1:106" s="44" customFormat="1" ht="15" x14ac:dyDescent="0.25">
      <c r="A9" s="77"/>
      <c r="B9" s="77" t="s">
        <v>196</v>
      </c>
      <c r="C9" s="35" t="s">
        <v>197</v>
      </c>
      <c r="D9" s="54" t="s">
        <v>113</v>
      </c>
      <c r="E9" s="34" t="s">
        <v>198</v>
      </c>
      <c r="F9" s="81" t="s">
        <v>199</v>
      </c>
      <c r="G9" s="34" t="s">
        <v>200</v>
      </c>
      <c r="H9" s="34" t="s">
        <v>201</v>
      </c>
      <c r="I9" s="54" t="s">
        <v>113</v>
      </c>
      <c r="J9" s="34" t="s">
        <v>154</v>
      </c>
      <c r="K9" s="34"/>
      <c r="L9" s="34" t="s">
        <v>118</v>
      </c>
      <c r="M9" s="34" t="s">
        <v>119</v>
      </c>
      <c r="N9" s="34" t="s">
        <v>202</v>
      </c>
      <c r="O9" s="34" t="s">
        <v>203</v>
      </c>
      <c r="P9" s="34" t="s">
        <v>122</v>
      </c>
      <c r="Q9" s="34" t="s">
        <v>123</v>
      </c>
      <c r="R9" s="34" t="s">
        <v>124</v>
      </c>
      <c r="S9" s="54" t="s">
        <v>204</v>
      </c>
      <c r="T9" s="34" t="s">
        <v>126</v>
      </c>
      <c r="U9" s="34" t="s">
        <v>127</v>
      </c>
      <c r="V9" s="34" t="s">
        <v>128</v>
      </c>
      <c r="W9" s="34" t="s">
        <v>129</v>
      </c>
      <c r="X9" s="34" t="s">
        <v>130</v>
      </c>
      <c r="Y9" s="34" t="s">
        <v>161</v>
      </c>
      <c r="Z9" s="34" t="s">
        <v>162</v>
      </c>
      <c r="AA9" s="54" t="s">
        <v>172</v>
      </c>
      <c r="AB9" s="34" t="s">
        <v>205</v>
      </c>
      <c r="AC9" s="53">
        <v>4101</v>
      </c>
      <c r="AD9" s="34" t="s">
        <v>206</v>
      </c>
      <c r="AE9" s="38">
        <f>+AC9-AD9</f>
        <v>4051</v>
      </c>
      <c r="AF9" s="34" t="s">
        <v>207</v>
      </c>
      <c r="AG9" s="34"/>
      <c r="AH9" s="54" t="s">
        <v>208</v>
      </c>
      <c r="AI9" s="54" t="s">
        <v>138</v>
      </c>
      <c r="AJ9" s="34" t="s">
        <v>209</v>
      </c>
      <c r="AK9" s="34"/>
      <c r="AL9" s="34" t="s">
        <v>210</v>
      </c>
      <c r="AM9" s="34" t="s">
        <v>211</v>
      </c>
      <c r="AN9" s="34" t="s">
        <v>170</v>
      </c>
      <c r="AO9" s="54" t="s">
        <v>212</v>
      </c>
      <c r="AP9" s="34"/>
      <c r="AQ9" s="34"/>
      <c r="AR9" s="34"/>
      <c r="AS9" s="34"/>
      <c r="AT9" s="34" t="s">
        <v>143</v>
      </c>
      <c r="AU9" s="34"/>
      <c r="AV9" s="34"/>
      <c r="AW9" s="34" t="s">
        <v>172</v>
      </c>
      <c r="AX9" s="34" t="s">
        <v>205</v>
      </c>
      <c r="AY9" s="34" t="s">
        <v>206</v>
      </c>
      <c r="AZ9" s="34" t="s">
        <v>207</v>
      </c>
      <c r="BA9" s="40"/>
      <c r="BB9" s="34" t="s">
        <v>144</v>
      </c>
      <c r="BC9" s="34" t="s">
        <v>145</v>
      </c>
      <c r="BD9" s="34" t="s">
        <v>213</v>
      </c>
      <c r="BE9" s="39" t="s">
        <v>124</v>
      </c>
      <c r="BF9" s="49"/>
      <c r="BG9" s="49"/>
      <c r="BH9" s="50"/>
      <c r="BI9" s="34">
        <v>1668</v>
      </c>
      <c r="BJ9" s="34" t="s">
        <v>172</v>
      </c>
      <c r="BK9" s="34" t="s">
        <v>147</v>
      </c>
      <c r="BL9" s="34" t="s">
        <v>145</v>
      </c>
      <c r="BM9" s="34" t="s">
        <v>213</v>
      </c>
      <c r="BN9" s="39" t="s">
        <v>124</v>
      </c>
      <c r="BO9" s="48"/>
      <c r="BP9" s="48"/>
      <c r="BQ9" s="48"/>
      <c r="BR9" s="54" t="s">
        <v>214</v>
      </c>
      <c r="BS9" s="54" t="s">
        <v>172</v>
      </c>
      <c r="BT9" s="50"/>
      <c r="BU9" s="50"/>
      <c r="BV9" s="50"/>
      <c r="BW9" s="50"/>
      <c r="BX9" s="50"/>
      <c r="BY9" s="50"/>
      <c r="BZ9" s="50"/>
      <c r="CA9" s="50"/>
      <c r="CB9" s="50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51"/>
      <c r="CW9" s="40"/>
      <c r="CX9" s="40"/>
      <c r="CY9" s="40"/>
      <c r="CZ9" s="40"/>
      <c r="DA9" s="40"/>
      <c r="DB9" s="40"/>
    </row>
    <row r="10" spans="1:106" s="44" customFormat="1" ht="15" x14ac:dyDescent="0.25">
      <c r="A10" s="77"/>
      <c r="B10" s="77" t="s">
        <v>215</v>
      </c>
      <c r="C10" s="55" t="s">
        <v>216</v>
      </c>
      <c r="D10" s="56" t="s">
        <v>113</v>
      </c>
      <c r="E10" s="57">
        <v>0.74733796296296295</v>
      </c>
      <c r="F10" s="58" t="s">
        <v>217</v>
      </c>
      <c r="G10" s="79"/>
      <c r="H10" s="76"/>
      <c r="I10" s="56" t="s">
        <v>113</v>
      </c>
      <c r="J10" s="59"/>
      <c r="K10" s="59"/>
      <c r="L10" s="59"/>
      <c r="M10" s="59"/>
      <c r="N10" s="59"/>
      <c r="O10" s="59"/>
      <c r="P10" s="59"/>
      <c r="Q10" s="59"/>
      <c r="R10" s="59"/>
      <c r="S10" s="60" t="s">
        <v>218</v>
      </c>
      <c r="T10" s="59"/>
      <c r="U10" s="59"/>
      <c r="V10" s="59"/>
      <c r="W10" s="59"/>
      <c r="X10" s="59"/>
      <c r="Y10" s="59"/>
      <c r="Z10" s="59"/>
      <c r="AA10" s="61" t="s">
        <v>138</v>
      </c>
      <c r="AB10" s="59"/>
      <c r="AC10" s="62" t="s">
        <v>219</v>
      </c>
      <c r="AD10" s="59">
        <v>0</v>
      </c>
      <c r="AE10" s="59"/>
      <c r="AF10" s="59"/>
      <c r="AG10" s="59"/>
      <c r="AH10" s="63">
        <v>0.32</v>
      </c>
      <c r="AI10" s="54" t="s">
        <v>138</v>
      </c>
      <c r="AJ10" s="59"/>
      <c r="AK10" s="59"/>
      <c r="AL10" s="59"/>
      <c r="AM10" s="59"/>
      <c r="AN10" s="59"/>
      <c r="AO10" s="58">
        <v>7775014694</v>
      </c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40"/>
      <c r="BB10" s="59"/>
      <c r="BC10" s="59"/>
      <c r="BD10" s="59"/>
      <c r="BE10" s="48"/>
      <c r="BF10" s="49"/>
      <c r="BG10" s="49"/>
      <c r="BH10" s="50"/>
      <c r="BI10" s="63">
        <v>58.85</v>
      </c>
      <c r="BJ10" s="64" t="s">
        <v>172</v>
      </c>
      <c r="BK10" s="59"/>
      <c r="BL10" s="59"/>
      <c r="BM10" s="59"/>
      <c r="BN10" s="48"/>
      <c r="BO10" s="48"/>
      <c r="BP10" s="48"/>
      <c r="BQ10" s="48"/>
      <c r="BR10" s="59"/>
      <c r="BS10" s="59"/>
      <c r="BT10" s="50"/>
      <c r="BU10" s="50"/>
      <c r="BV10" s="50"/>
      <c r="BW10" s="50"/>
      <c r="BX10" s="50"/>
      <c r="BY10" s="50"/>
      <c r="BZ10" s="50"/>
      <c r="CA10" s="50"/>
      <c r="CB10" s="50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51"/>
      <c r="CW10" s="40"/>
      <c r="CX10" s="40"/>
      <c r="CY10" s="40"/>
      <c r="CZ10" s="40"/>
      <c r="DA10" s="40"/>
      <c r="DB10" s="40"/>
    </row>
    <row r="11" spans="1:106" s="44" customFormat="1" ht="15" x14ac:dyDescent="0.25">
      <c r="A11" s="78"/>
      <c r="B11" s="78" t="s">
        <v>220</v>
      </c>
      <c r="C11" s="66" t="s">
        <v>221</v>
      </c>
      <c r="D11" s="66" t="s">
        <v>222</v>
      </c>
      <c r="E11" s="67">
        <v>0.46600694444444446</v>
      </c>
      <c r="F11" s="66" t="s">
        <v>223</v>
      </c>
      <c r="G11" s="66" t="s">
        <v>224</v>
      </c>
      <c r="H11" s="66" t="s">
        <v>225</v>
      </c>
      <c r="I11" s="66" t="s">
        <v>222</v>
      </c>
      <c r="J11" s="66" t="s">
        <v>117</v>
      </c>
      <c r="K11" s="66" t="s">
        <v>219</v>
      </c>
      <c r="L11" s="66" t="s">
        <v>118</v>
      </c>
      <c r="M11" s="66" t="s">
        <v>119</v>
      </c>
      <c r="N11" s="66">
        <v>30056293</v>
      </c>
      <c r="O11" s="66" t="s">
        <v>121</v>
      </c>
      <c r="P11" s="66" t="s">
        <v>122</v>
      </c>
      <c r="Q11" s="66" t="s">
        <v>123</v>
      </c>
      <c r="R11" s="66" t="s">
        <v>124</v>
      </c>
      <c r="S11" s="68" t="s">
        <v>226</v>
      </c>
      <c r="T11" s="66">
        <v>983031158</v>
      </c>
      <c r="U11" s="66" t="s">
        <v>127</v>
      </c>
      <c r="V11" s="66">
        <v>600</v>
      </c>
      <c r="W11" s="66" t="s">
        <v>129</v>
      </c>
      <c r="X11" s="66" t="s">
        <v>130</v>
      </c>
      <c r="Y11" s="66">
        <v>318004</v>
      </c>
      <c r="Z11" s="66" t="s">
        <v>227</v>
      </c>
      <c r="AA11" s="66" t="s">
        <v>228</v>
      </c>
      <c r="AB11" s="66">
        <v>0.88989130000000005</v>
      </c>
      <c r="AC11" s="69">
        <v>96.06</v>
      </c>
      <c r="AD11" s="66">
        <v>86.46</v>
      </c>
      <c r="AE11" s="70">
        <f>+AC11-AD11</f>
        <v>9.6000000000000085</v>
      </c>
      <c r="AF11" s="66">
        <v>3216.92</v>
      </c>
      <c r="AG11" s="66" t="s">
        <v>219</v>
      </c>
      <c r="AH11" s="66">
        <v>76.94</v>
      </c>
      <c r="AI11" s="66" t="s">
        <v>138</v>
      </c>
      <c r="AJ11" s="66">
        <v>155.97</v>
      </c>
      <c r="AK11" s="66" t="s">
        <v>219</v>
      </c>
      <c r="AL11" s="66" t="s">
        <v>229</v>
      </c>
      <c r="AM11" s="66" t="s">
        <v>219</v>
      </c>
      <c r="AN11" s="66" t="s">
        <v>170</v>
      </c>
      <c r="AO11" s="66">
        <v>1233321</v>
      </c>
      <c r="AP11" s="66" t="s">
        <v>219</v>
      </c>
      <c r="AQ11" s="66"/>
      <c r="AR11" s="66" t="s">
        <v>219</v>
      </c>
      <c r="AS11" s="66"/>
      <c r="AT11" s="66" t="s">
        <v>143</v>
      </c>
      <c r="AU11" s="66"/>
      <c r="AV11" s="66"/>
      <c r="AW11" s="66" t="s">
        <v>172</v>
      </c>
      <c r="AX11" s="66">
        <v>0.88989130000000005</v>
      </c>
      <c r="AY11" s="66">
        <v>12000</v>
      </c>
      <c r="AZ11" s="66">
        <v>3151.2</v>
      </c>
      <c r="BA11" s="40"/>
      <c r="BB11" s="66" t="s">
        <v>144</v>
      </c>
      <c r="BC11" s="66" t="s">
        <v>145</v>
      </c>
      <c r="BD11" s="66" t="s">
        <v>230</v>
      </c>
      <c r="BE11" s="48" t="s">
        <v>124</v>
      </c>
      <c r="BF11" s="49"/>
      <c r="BG11" s="49"/>
      <c r="BH11" s="50"/>
      <c r="BI11" s="66">
        <v>9.6</v>
      </c>
      <c r="BJ11" s="66" t="s">
        <v>228</v>
      </c>
      <c r="BK11" s="66" t="s">
        <v>219</v>
      </c>
      <c r="BL11" s="66" t="s">
        <v>145</v>
      </c>
      <c r="BM11" s="66" t="s">
        <v>230</v>
      </c>
      <c r="BN11" s="48" t="s">
        <v>124</v>
      </c>
      <c r="BO11" s="48"/>
      <c r="BP11" s="48"/>
      <c r="BQ11" s="48"/>
      <c r="BR11" s="66"/>
      <c r="BS11" s="66"/>
      <c r="BT11" s="50"/>
      <c r="BU11" s="50"/>
      <c r="BV11" s="50"/>
      <c r="BW11" s="50"/>
      <c r="BX11" s="50"/>
      <c r="BY11" s="50"/>
      <c r="BZ11" s="50"/>
      <c r="CA11" s="50"/>
      <c r="CB11" s="50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51"/>
    </row>
    <row r="12" spans="1:106" s="44" customFormat="1" ht="15" x14ac:dyDescent="0.25">
      <c r="A12" s="65"/>
      <c r="B12" s="65" t="s">
        <v>231</v>
      </c>
      <c r="C12" s="71" t="s">
        <v>232</v>
      </c>
      <c r="D12" s="66" t="s">
        <v>233</v>
      </c>
      <c r="E12" s="67">
        <v>0.55619212962962961</v>
      </c>
      <c r="F12" s="66" t="s">
        <v>234</v>
      </c>
      <c r="G12" s="66" t="s">
        <v>235</v>
      </c>
      <c r="H12" s="66" t="s">
        <v>236</v>
      </c>
      <c r="I12" s="66" t="s">
        <v>233</v>
      </c>
      <c r="J12" s="66" t="s">
        <v>154</v>
      </c>
      <c r="K12" s="66" t="s">
        <v>219</v>
      </c>
      <c r="L12" s="66" t="s">
        <v>118</v>
      </c>
      <c r="M12" s="66" t="s">
        <v>119</v>
      </c>
      <c r="N12" s="66">
        <v>23057027</v>
      </c>
      <c r="O12" s="66" t="s">
        <v>156</v>
      </c>
      <c r="P12" s="66" t="s">
        <v>122</v>
      </c>
      <c r="Q12" s="66" t="s">
        <v>123</v>
      </c>
      <c r="R12" s="66" t="s">
        <v>124</v>
      </c>
      <c r="S12" s="66">
        <v>7775009485</v>
      </c>
      <c r="T12" s="66">
        <v>983031158</v>
      </c>
      <c r="U12" s="66" t="s">
        <v>158</v>
      </c>
      <c r="V12" s="66">
        <v>606</v>
      </c>
      <c r="W12" s="66" t="s">
        <v>160</v>
      </c>
      <c r="X12" s="66" t="s">
        <v>130</v>
      </c>
      <c r="Y12" s="66">
        <v>318033</v>
      </c>
      <c r="Z12" s="66" t="s">
        <v>237</v>
      </c>
      <c r="AA12" s="72" t="s">
        <v>228</v>
      </c>
      <c r="AB12" s="66">
        <v>1.1533477000000001</v>
      </c>
      <c r="AC12" s="73">
        <v>23.19</v>
      </c>
      <c r="AD12" s="72">
        <v>13.89</v>
      </c>
      <c r="AE12" s="70">
        <f>+AC12-AD12</f>
        <v>9.3000000000000007</v>
      </c>
      <c r="AF12" s="66">
        <v>525.23</v>
      </c>
      <c r="AG12" s="66" t="s">
        <v>219</v>
      </c>
      <c r="AH12" s="66">
        <v>16.02</v>
      </c>
      <c r="AI12" s="66" t="s">
        <v>138</v>
      </c>
      <c r="AJ12" s="66">
        <v>156.03</v>
      </c>
      <c r="AK12" s="66" t="s">
        <v>219</v>
      </c>
      <c r="AL12" s="66" t="s">
        <v>238</v>
      </c>
      <c r="AM12" s="66">
        <v>40</v>
      </c>
      <c r="AN12" s="66" t="s">
        <v>170</v>
      </c>
      <c r="AO12" s="66">
        <v>1234567</v>
      </c>
      <c r="AP12" s="66" t="s">
        <v>219</v>
      </c>
      <c r="AQ12" s="66"/>
      <c r="AR12" s="66" t="s">
        <v>219</v>
      </c>
      <c r="AS12" s="66"/>
      <c r="AT12" s="66" t="s">
        <v>143</v>
      </c>
      <c r="AU12" s="66"/>
      <c r="AV12" s="66"/>
      <c r="AW12" s="66" t="s">
        <v>172</v>
      </c>
      <c r="AX12" s="66">
        <v>1.1533477000000001</v>
      </c>
      <c r="AY12" s="66">
        <v>2500</v>
      </c>
      <c r="AZ12" s="66">
        <v>522.76</v>
      </c>
      <c r="BA12" s="40"/>
      <c r="BB12" s="66" t="s">
        <v>144</v>
      </c>
      <c r="BC12" s="66" t="s">
        <v>145</v>
      </c>
      <c r="BD12" s="66" t="s">
        <v>239</v>
      </c>
      <c r="BE12" s="48" t="s">
        <v>124</v>
      </c>
      <c r="BF12" s="49"/>
      <c r="BG12" s="49"/>
      <c r="BH12" s="50"/>
      <c r="BI12" s="72">
        <v>9.3000000000000007</v>
      </c>
      <c r="BJ12" s="72" t="s">
        <v>228</v>
      </c>
      <c r="BK12" s="66" t="s">
        <v>219</v>
      </c>
      <c r="BL12" s="66" t="s">
        <v>145</v>
      </c>
      <c r="BM12" s="66" t="s">
        <v>239</v>
      </c>
      <c r="BN12" s="48" t="s">
        <v>124</v>
      </c>
      <c r="BO12" s="48"/>
      <c r="BP12" s="48"/>
      <c r="BQ12" s="48"/>
      <c r="BR12" s="66" t="s">
        <v>219</v>
      </c>
      <c r="BS12" s="66" t="s">
        <v>219</v>
      </c>
      <c r="BT12" s="50"/>
      <c r="BU12" s="50"/>
      <c r="BV12" s="50"/>
      <c r="BW12" s="50"/>
      <c r="BX12" s="50"/>
      <c r="BY12" s="50"/>
      <c r="BZ12" s="50"/>
      <c r="CA12" s="50"/>
      <c r="CB12" s="50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51"/>
    </row>
    <row r="13" spans="1:106" s="44" customFormat="1" ht="15" x14ac:dyDescent="0.25">
      <c r="A13" s="65"/>
      <c r="B13" s="65" t="s">
        <v>240</v>
      </c>
      <c r="C13" s="74" t="s">
        <v>241</v>
      </c>
      <c r="D13" s="74" t="s">
        <v>222</v>
      </c>
      <c r="E13" s="75">
        <v>0.46855324074074073</v>
      </c>
      <c r="F13" s="74" t="s">
        <v>242</v>
      </c>
      <c r="G13" s="74" t="s">
        <v>243</v>
      </c>
      <c r="H13" s="74" t="s">
        <v>244</v>
      </c>
      <c r="I13" s="74" t="s">
        <v>222</v>
      </c>
      <c r="J13" s="74" t="s">
        <v>117</v>
      </c>
      <c r="K13" s="74" t="s">
        <v>219</v>
      </c>
      <c r="L13" s="74" t="s">
        <v>118</v>
      </c>
      <c r="M13" s="74" t="s">
        <v>119</v>
      </c>
      <c r="N13" s="74">
        <v>30056293</v>
      </c>
      <c r="O13" s="74" t="s">
        <v>121</v>
      </c>
      <c r="P13" s="74" t="s">
        <v>122</v>
      </c>
      <c r="Q13" s="74" t="s">
        <v>123</v>
      </c>
      <c r="R13" s="74" t="s">
        <v>124</v>
      </c>
      <c r="S13" s="68" t="s">
        <v>226</v>
      </c>
      <c r="T13" s="74">
        <v>983031158</v>
      </c>
      <c r="U13" s="74" t="s">
        <v>127</v>
      </c>
      <c r="V13" s="74">
        <v>600</v>
      </c>
      <c r="W13" s="74" t="s">
        <v>129</v>
      </c>
      <c r="X13" s="74" t="s">
        <v>130</v>
      </c>
      <c r="Y13" s="74">
        <v>318024</v>
      </c>
      <c r="Z13" s="74" t="s">
        <v>245</v>
      </c>
      <c r="AA13" s="74" t="s">
        <v>228</v>
      </c>
      <c r="AB13" s="74">
        <v>1.0564150999999999</v>
      </c>
      <c r="AC13" s="69">
        <v>435.55</v>
      </c>
      <c r="AD13" s="74">
        <v>425.95</v>
      </c>
      <c r="AE13" s="70">
        <f>+AC13-AD13</f>
        <v>9.6000000000000227</v>
      </c>
      <c r="AF13" s="74">
        <v>15848.34</v>
      </c>
      <c r="AG13" s="74" t="s">
        <v>219</v>
      </c>
      <c r="AH13" s="74">
        <v>449.98</v>
      </c>
      <c r="AI13" s="74" t="s">
        <v>138</v>
      </c>
      <c r="AJ13" s="74">
        <v>7.7781000000000002</v>
      </c>
      <c r="AK13" s="74" t="s">
        <v>219</v>
      </c>
      <c r="AL13" s="74" t="s">
        <v>246</v>
      </c>
      <c r="AM13" s="74" t="s">
        <v>219</v>
      </c>
      <c r="AN13" s="74" t="s">
        <v>141</v>
      </c>
      <c r="AO13" s="74">
        <v>5643234</v>
      </c>
      <c r="AP13" s="74" t="s">
        <v>219</v>
      </c>
      <c r="AQ13" s="74"/>
      <c r="AR13" s="74" t="s">
        <v>219</v>
      </c>
      <c r="AS13" s="74"/>
      <c r="AT13" s="74" t="s">
        <v>143</v>
      </c>
      <c r="AU13" s="74"/>
      <c r="AV13" s="74"/>
      <c r="AW13" s="74" t="s">
        <v>133</v>
      </c>
      <c r="AX13" s="74">
        <v>1.0564150999999999</v>
      </c>
      <c r="AY13" s="74">
        <v>3500</v>
      </c>
      <c r="AZ13" s="74">
        <v>15524.71</v>
      </c>
      <c r="BA13" s="40"/>
      <c r="BB13" s="74" t="s">
        <v>144</v>
      </c>
      <c r="BC13" s="74" t="s">
        <v>145</v>
      </c>
      <c r="BD13" s="74" t="s">
        <v>230</v>
      </c>
      <c r="BE13" s="48" t="s">
        <v>124</v>
      </c>
      <c r="BF13" s="49"/>
      <c r="BG13" s="49"/>
      <c r="BH13" s="50"/>
      <c r="BI13" s="74">
        <v>9.6</v>
      </c>
      <c r="BJ13" s="74" t="s">
        <v>228</v>
      </c>
      <c r="BK13" s="74" t="s">
        <v>219</v>
      </c>
      <c r="BL13" s="74" t="s">
        <v>145</v>
      </c>
      <c r="BM13" s="74" t="s">
        <v>230</v>
      </c>
      <c r="BN13" s="48" t="s">
        <v>124</v>
      </c>
      <c r="BO13" s="48"/>
      <c r="BP13" s="48"/>
      <c r="BQ13" s="48"/>
      <c r="BR13" s="66" t="s">
        <v>219</v>
      </c>
      <c r="BS13" s="66" t="s">
        <v>219</v>
      </c>
      <c r="BT13" s="50"/>
      <c r="BU13" s="50"/>
      <c r="BV13" s="50"/>
      <c r="BW13" s="50"/>
      <c r="BX13" s="50"/>
      <c r="BY13" s="50"/>
      <c r="BZ13" s="50"/>
      <c r="CA13" s="50"/>
      <c r="CB13" s="50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51"/>
    </row>
    <row r="14" spans="1:106" s="44" customFormat="1" ht="15" x14ac:dyDescent="0.25">
      <c r="A14" s="65"/>
      <c r="B14" s="65" t="s">
        <v>247</v>
      </c>
      <c r="C14" s="71" t="s">
        <v>248</v>
      </c>
      <c r="D14" s="66" t="s">
        <v>233</v>
      </c>
      <c r="E14" s="67">
        <v>0.5662962962962963</v>
      </c>
      <c r="F14" s="66" t="s">
        <v>249</v>
      </c>
      <c r="G14" s="66" t="s">
        <v>250</v>
      </c>
      <c r="H14" s="66" t="s">
        <v>251</v>
      </c>
      <c r="I14" s="66" t="s">
        <v>233</v>
      </c>
      <c r="J14" s="66" t="s">
        <v>154</v>
      </c>
      <c r="K14" s="66" t="s">
        <v>219</v>
      </c>
      <c r="L14" s="66" t="s">
        <v>118</v>
      </c>
      <c r="M14" s="66" t="s">
        <v>119</v>
      </c>
      <c r="N14" s="66">
        <v>23057027</v>
      </c>
      <c r="O14" s="66" t="s">
        <v>156</v>
      </c>
      <c r="P14" s="66" t="s">
        <v>122</v>
      </c>
      <c r="Q14" s="66" t="s">
        <v>123</v>
      </c>
      <c r="R14" s="66" t="s">
        <v>124</v>
      </c>
      <c r="S14" s="66">
        <v>7775009485</v>
      </c>
      <c r="T14" s="66">
        <v>983031158</v>
      </c>
      <c r="U14" s="66" t="s">
        <v>158</v>
      </c>
      <c r="V14" s="66">
        <v>606</v>
      </c>
      <c r="W14" s="66" t="s">
        <v>160</v>
      </c>
      <c r="X14" s="66" t="s">
        <v>130</v>
      </c>
      <c r="Y14" s="66">
        <v>318033</v>
      </c>
      <c r="Z14" s="66" t="s">
        <v>237</v>
      </c>
      <c r="AA14" s="66" t="s">
        <v>228</v>
      </c>
      <c r="AB14" s="66">
        <v>1.1532137</v>
      </c>
      <c r="AC14" s="69">
        <v>175.93</v>
      </c>
      <c r="AD14" s="66">
        <v>166.63</v>
      </c>
      <c r="AE14" s="70">
        <f>+AC14-AD14</f>
        <v>9.3000000000000114</v>
      </c>
      <c r="AF14" s="66">
        <v>6300.88</v>
      </c>
      <c r="AG14" s="66" t="s">
        <v>219</v>
      </c>
      <c r="AH14" s="66">
        <v>192.16</v>
      </c>
      <c r="AI14" s="66" t="s">
        <v>138</v>
      </c>
      <c r="AJ14" s="66">
        <v>156.12</v>
      </c>
      <c r="AK14" s="66" t="s">
        <v>219</v>
      </c>
      <c r="AL14" s="66" t="s">
        <v>252</v>
      </c>
      <c r="AM14" s="66">
        <v>40</v>
      </c>
      <c r="AN14" s="66" t="s">
        <v>170</v>
      </c>
      <c r="AO14" s="66">
        <v>1234567</v>
      </c>
      <c r="AP14" s="66" t="s">
        <v>219</v>
      </c>
      <c r="AQ14" s="66"/>
      <c r="AR14" s="66" t="s">
        <v>219</v>
      </c>
      <c r="AS14" s="66"/>
      <c r="AT14" s="66" t="s">
        <v>143</v>
      </c>
      <c r="AU14" s="66"/>
      <c r="AV14" s="66"/>
      <c r="AW14" s="66" t="s">
        <v>172</v>
      </c>
      <c r="AX14" s="66">
        <v>1.1532137</v>
      </c>
      <c r="AY14" s="66">
        <v>30000</v>
      </c>
      <c r="AZ14" s="66">
        <v>6273.09</v>
      </c>
      <c r="BA14" s="40"/>
      <c r="BB14" s="66" t="s">
        <v>144</v>
      </c>
      <c r="BC14" s="66" t="s">
        <v>145</v>
      </c>
      <c r="BD14" s="66" t="s">
        <v>239</v>
      </c>
      <c r="BE14" s="48" t="s">
        <v>124</v>
      </c>
      <c r="BF14" s="49"/>
      <c r="BG14" s="49"/>
      <c r="BH14" s="50"/>
      <c r="BI14" s="66">
        <v>9.3000000000000007</v>
      </c>
      <c r="BJ14" s="66" t="s">
        <v>228</v>
      </c>
      <c r="BK14" s="66" t="s">
        <v>219</v>
      </c>
      <c r="BL14" s="66" t="s">
        <v>145</v>
      </c>
      <c r="BM14" s="66" t="s">
        <v>239</v>
      </c>
      <c r="BN14" s="48" t="s">
        <v>124</v>
      </c>
      <c r="BO14" s="48"/>
      <c r="BP14" s="48"/>
      <c r="BQ14" s="48"/>
      <c r="BR14" s="66"/>
      <c r="BS14" s="66"/>
      <c r="BT14" s="50"/>
      <c r="BU14" s="50"/>
      <c r="BV14" s="50"/>
      <c r="BW14" s="50"/>
      <c r="BX14" s="50"/>
      <c r="BY14" s="50"/>
      <c r="BZ14" s="50"/>
      <c r="CA14" s="50"/>
      <c r="CB14" s="50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51"/>
    </row>
    <row r="15" spans="1:106" s="44" customFormat="1" ht="15" x14ac:dyDescent="0.25">
      <c r="A15" s="65"/>
      <c r="B15" s="65" t="s">
        <v>253</v>
      </c>
      <c r="C15" s="71" t="s">
        <v>254</v>
      </c>
      <c r="D15" s="74" t="s">
        <v>222</v>
      </c>
      <c r="E15" s="75">
        <v>0.70701388888888894</v>
      </c>
      <c r="F15" s="74" t="s">
        <v>255</v>
      </c>
      <c r="G15" s="74" t="s">
        <v>256</v>
      </c>
      <c r="H15" s="74" t="s">
        <v>257</v>
      </c>
      <c r="I15" s="74" t="s">
        <v>222</v>
      </c>
      <c r="J15" s="74" t="s">
        <v>154</v>
      </c>
      <c r="K15" s="74" t="s">
        <v>219</v>
      </c>
      <c r="L15" s="74" t="s">
        <v>118</v>
      </c>
      <c r="M15" s="74" t="s">
        <v>119</v>
      </c>
      <c r="N15" s="74">
        <v>30021809</v>
      </c>
      <c r="O15" s="74" t="s">
        <v>258</v>
      </c>
      <c r="P15" s="74" t="s">
        <v>122</v>
      </c>
      <c r="Q15" s="74" t="s">
        <v>123</v>
      </c>
      <c r="R15" s="74" t="s">
        <v>124</v>
      </c>
      <c r="S15" s="74">
        <v>7775011241</v>
      </c>
      <c r="T15" s="74">
        <v>983031158</v>
      </c>
      <c r="U15" s="74" t="s">
        <v>158</v>
      </c>
      <c r="V15" s="74">
        <v>903</v>
      </c>
      <c r="W15" s="74" t="s">
        <v>160</v>
      </c>
      <c r="X15" s="74" t="s">
        <v>130</v>
      </c>
      <c r="Y15" s="74">
        <v>318033</v>
      </c>
      <c r="Z15" s="74" t="s">
        <v>237</v>
      </c>
      <c r="AA15" s="74" t="s">
        <v>138</v>
      </c>
      <c r="AB15" s="74" t="s">
        <v>219</v>
      </c>
      <c r="AC15" s="69">
        <v>146.19</v>
      </c>
      <c r="AD15" s="74">
        <v>120</v>
      </c>
      <c r="AE15" s="70">
        <f>+AC15-AD15</f>
        <v>26.189999999999998</v>
      </c>
      <c r="AF15" s="74">
        <v>3894.96</v>
      </c>
      <c r="AG15" s="74" t="s">
        <v>219</v>
      </c>
      <c r="AH15" s="74">
        <v>120</v>
      </c>
      <c r="AI15" s="74" t="s">
        <v>138</v>
      </c>
      <c r="AJ15" s="74">
        <v>1</v>
      </c>
      <c r="AK15" s="74" t="s">
        <v>219</v>
      </c>
      <c r="AL15" s="74" t="s">
        <v>259</v>
      </c>
      <c r="AM15" s="74" t="s">
        <v>219</v>
      </c>
      <c r="AN15" s="74" t="s">
        <v>260</v>
      </c>
      <c r="AO15" s="74">
        <v>1234567</v>
      </c>
      <c r="AP15" s="74" t="s">
        <v>219</v>
      </c>
      <c r="AQ15" s="74"/>
      <c r="AR15" s="74" t="s">
        <v>219</v>
      </c>
      <c r="AS15" s="74"/>
      <c r="AT15" s="74" t="s">
        <v>143</v>
      </c>
      <c r="AU15" s="74"/>
      <c r="AV15" s="74"/>
      <c r="AW15" s="74" t="s">
        <v>138</v>
      </c>
      <c r="AX15" s="74" t="s">
        <v>219</v>
      </c>
      <c r="AY15" s="74">
        <v>120</v>
      </c>
      <c r="AZ15" s="74">
        <v>3894.96</v>
      </c>
      <c r="BA15" s="40"/>
      <c r="BB15" s="74" t="s">
        <v>144</v>
      </c>
      <c r="BC15" s="74" t="s">
        <v>145</v>
      </c>
      <c r="BD15" s="74" t="s">
        <v>261</v>
      </c>
      <c r="BE15" s="48" t="s">
        <v>124</v>
      </c>
      <c r="BF15" s="49"/>
      <c r="BG15" s="49"/>
      <c r="BH15" s="50"/>
      <c r="BI15" s="74">
        <v>10.78</v>
      </c>
      <c r="BJ15" s="74" t="s">
        <v>138</v>
      </c>
      <c r="BK15" s="74" t="s">
        <v>147</v>
      </c>
      <c r="BL15" s="74" t="s">
        <v>145</v>
      </c>
      <c r="BM15" s="74" t="s">
        <v>261</v>
      </c>
      <c r="BN15" s="48" t="s">
        <v>124</v>
      </c>
      <c r="BO15" s="48"/>
      <c r="BP15" s="48"/>
      <c r="BQ15" s="48"/>
      <c r="BR15" s="74">
        <v>15.41</v>
      </c>
      <c r="BS15" s="74" t="s">
        <v>138</v>
      </c>
      <c r="BT15" s="50"/>
      <c r="BU15" s="50"/>
      <c r="BV15" s="50"/>
      <c r="BW15" s="50"/>
      <c r="BX15" s="50"/>
      <c r="BY15" s="50"/>
      <c r="BZ15" s="50"/>
      <c r="CA15" s="50"/>
      <c r="CB15" s="50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51"/>
    </row>
    <row r="16" spans="1:106" x14ac:dyDescent="0.3">
      <c r="B16" s="86" t="s">
        <v>263</v>
      </c>
    </row>
    <row r="17" spans="2:2" x14ac:dyDescent="0.3">
      <c r="B17" s="86" t="s">
        <v>264</v>
      </c>
    </row>
  </sheetData>
  <autoFilter ref="A3:CU15" xr:uid="{BD3D2CE1-54F7-4063-A8D1-60D88CEBF62D}"/>
  <mergeCells count="2">
    <mergeCell ref="N4:AG4"/>
    <mergeCell ref="CW4:DB4"/>
  </mergeCells>
  <dataValidations count="1">
    <dataValidation type="list" allowBlank="1" showInputMessage="1" showErrorMessage="1" sqref="CW6:DB10" xr:uid="{3E938E12-2FB7-4C66-AD65-9665DFCE9732}">
      <formula1>"Yes,No"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92c345-fe85-4329-9b32-d42bd9ce568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8bd2d439-aea9-4035-b4e9-8ef80bf90cb6">
      <Terms xmlns="http://schemas.microsoft.com/office/infopath/2007/PartnerControls"/>
    </lcf76f155ced4ddcb4097134ff3c332f>
    <Tags xmlns="8bd2d439-aea9-4035-b4e9-8ef80bf90c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66A14B1547C4C9D7BAD680DA88C61" ma:contentTypeVersion="15" ma:contentTypeDescription="Create a new document." ma:contentTypeScope="" ma:versionID="002aa387ec480ae932de6dc40f75283b">
  <xsd:schema xmlns:xsd="http://www.w3.org/2001/XMLSchema" xmlns:xs="http://www.w3.org/2001/XMLSchema" xmlns:p="http://schemas.microsoft.com/office/2006/metadata/properties" xmlns:ns1="http://schemas.microsoft.com/sharepoint/v3" xmlns:ns2="8bd2d439-aea9-4035-b4e9-8ef80bf90cb6" xmlns:ns3="a692c345-fe85-4329-9b32-d42bd9ce568f" targetNamespace="http://schemas.microsoft.com/office/2006/metadata/properties" ma:root="true" ma:fieldsID="d9230dd1b22e970ac78e7c979b83a161" ns1:_="" ns2:_="" ns3:_="">
    <xsd:import namespace="http://schemas.microsoft.com/sharepoint/v3"/>
    <xsd:import namespace="8bd2d439-aea9-4035-b4e9-8ef80bf90cb6"/>
    <xsd:import namespace="a692c345-fe85-4329-9b32-d42bd9ce56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2d439-aea9-4035-b4e9-8ef80bf90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853732c-949f-4082-84fe-91e973660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ags" ma:index="22" nillable="true" ma:displayName="Tags" ma:format="Dropdown" ma:internalName="Tags">
      <xsd:simpleType>
        <xsd:union memberTypes="dms:Text">
          <xsd:simpleType>
            <xsd:restriction base="dms:Choice">
              <xsd:enumeration value="Downstream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2c345-fe85-4329-9b32-d42bd9ce56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34b41b-324e-4ea5-8868-37e3e72937ab}" ma:internalName="TaxCatchAll" ma:showField="CatchAllData" ma:web="a692c345-fe85-4329-9b32-d42bd9ce56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2D05D9-C205-4FDD-BA75-63F90731AB13}">
  <ds:schemaRefs>
    <ds:schemaRef ds:uri="http://schemas.microsoft.com/office/2006/metadata/properties"/>
    <ds:schemaRef ds:uri="http://schemas.microsoft.com/office/infopath/2007/PartnerControls"/>
    <ds:schemaRef ds:uri="a692c345-fe85-4329-9b32-d42bd9ce568f"/>
    <ds:schemaRef ds:uri="http://schemas.microsoft.com/sharepoint/v3"/>
    <ds:schemaRef ds:uri="8bd2d439-aea9-4035-b4e9-8ef80bf90cb6"/>
  </ds:schemaRefs>
</ds:datastoreItem>
</file>

<file path=customXml/itemProps2.xml><?xml version="1.0" encoding="utf-8"?>
<ds:datastoreItem xmlns:ds="http://schemas.openxmlformats.org/officeDocument/2006/customXml" ds:itemID="{A52E3218-7849-4BF1-9808-0D35456B5D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FF3047-BADE-4731-8331-0806D2AEFD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d2d439-aea9-4035-b4e9-8ef80bf90cb6"/>
    <ds:schemaRef ds:uri="a692c345-fe85-4329-9b32-d42bd9ce56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Patipan Chanmamuang (Bank of Ayudhya PCL.)</dc:creator>
  <cp:keywords/>
  <dc:description/>
  <cp:lastModifiedBy>Adam Khamphan (Krungsri-Outsource)</cp:lastModifiedBy>
  <cp:revision/>
  <dcterms:created xsi:type="dcterms:W3CDTF">2026-06-29T10:51:19Z</dcterms:created>
  <dcterms:modified xsi:type="dcterms:W3CDTF">2026-07-24T08:40:16Z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0x010100C8F66A14B1547C4C9D7BAD680DA88C61</vt:lpwstr>
  </property>
  <property fmtid="{D5CDD505-2E9C-101B-9397-08002B2CF9AE}" pid="3" name="MediaServiceImageTags">
    <vt:lpwstr/>
  </property>
</Properties>
</file>