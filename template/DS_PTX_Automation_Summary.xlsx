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75" documentId="13_ncr:1_{3921D751-0C97-4068-A9FE-A5F6B4B236B2}" xr6:coauthVersionLast="47" xr6:coauthVersionMax="47" xr10:uidLastSave="{20F08B13-76ED-413A-A306-D2FAC3638426}"/>
  <bookViews>
    <workbookView xWindow="-108" yWindow="-108" windowWidth="23256" windowHeight="12456" xr2:uid="{00000000-000D-0000-FFFF-FFFF00000000}"/>
  </bookViews>
  <sheets>
    <sheet name="DS_PTX Summary Test Results" sheetId="2" r:id="rId1"/>
    <sheet name="DS_PTX_Reconcile" sheetId="3" r:id="rId2"/>
    <sheet name="DS_PTX" sheetId="5" r:id="rId3"/>
    <sheet name="Test Data" sheetId="4" r:id="rId4"/>
  </sheets>
  <definedNames>
    <definedName name="_xlnm._FilterDatabase" localSheetId="2">DS_PTX!$A$1:$AG$1</definedName>
    <definedName name="_xlnm._FilterDatabase">'Test Data'!$A$3:$CU$5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" l="1"/>
  <c r="L5" i="2"/>
  <c r="K5" i="2"/>
</calcChain>
</file>

<file path=xl/sharedStrings.xml><?xml version="1.0" encoding="utf-8"?>
<sst xmlns="http://schemas.openxmlformats.org/spreadsheetml/2006/main" count="228" uniqueCount="171">
  <si>
    <t>DS_PTX AUTOMATION VERIFICATION SUMMARY</t>
  </si>
  <si>
    <t>Report File Name:</t>
  </si>
  <si>
    <t>TOTAL CHECKED</t>
  </si>
  <si>
    <t>PASSED/MATCH</t>
  </si>
  <si>
    <t>FAILED/UNMATCH</t>
  </si>
  <si>
    <t>Execution Date:</t>
  </si>
  <si>
    <t>2026-07-21</t>
  </si>
  <si>
    <t>Run ID:</t>
  </si>
  <si>
    <t>RUN_20260721_092700</t>
  </si>
  <si>
    <t>Verified By:</t>
  </si>
  <si>
    <t>QAD Automation</t>
  </si>
  <si>
    <t>SUMMARY DETAILS</t>
  </si>
  <si>
    <t>DS_PTX</t>
  </si>
  <si>
    <t>Test Script Data</t>
  </si>
  <si>
    <t>Test Result</t>
  </si>
  <si>
    <t>Reason</t>
  </si>
  <si>
    <t>Reference Transaction Number</t>
  </si>
  <si>
    <t>Data Set Date</t>
  </si>
  <si>
    <t>Receive Payment Transaction Type</t>
  </si>
  <si>
    <t>Receive Payment Item Type</t>
  </si>
  <si>
    <t>Receive Payment Item Description</t>
  </si>
  <si>
    <t>Payment Method</t>
  </si>
  <si>
    <t>Currency Id</t>
  </si>
  <si>
    <t>Transaction Amount in Foreign Currency</t>
  </si>
  <si>
    <t>Test Script No.</t>
  </si>
  <si>
    <t>Test Case / Scenario</t>
  </si>
  <si>
    <t>Txn Date</t>
  </si>
  <si>
    <t>From CIF No. (Client/Sender)</t>
  </si>
  <si>
    <t>From Account ( A/C Client/Sender)</t>
  </si>
  <si>
    <t>From Currency (CCY)</t>
  </si>
  <si>
    <t xml:space="preserve">From Debit Amount </t>
  </si>
  <si>
    <t>From Transfer Amount</t>
  </si>
  <si>
    <t>Fee Type 1</t>
  </si>
  <si>
    <t>Fee Charge Account No. Type 1</t>
  </si>
  <si>
    <t>Fee Amount Type 1</t>
  </si>
  <si>
    <t>Fee Currency 1</t>
  </si>
  <si>
    <t>Fee Type 2</t>
  </si>
  <si>
    <t>Fee Charge Account No. Type 2</t>
  </si>
  <si>
    <t>Fee Amount  2</t>
  </si>
  <si>
    <t>Fee Currency 2</t>
  </si>
  <si>
    <t>Result</t>
  </si>
  <si>
    <t>Remark</t>
  </si>
  <si>
    <t>Dept Code</t>
  </si>
  <si>
    <t>System Id</t>
  </si>
  <si>
    <t>Cust Code</t>
  </si>
  <si>
    <t>CMF CODE</t>
  </si>
  <si>
    <t>Cust Name</t>
  </si>
  <si>
    <t>Data Provider Branch Number</t>
  </si>
  <si>
    <t>Data Provider IBF Indicator</t>
  </si>
  <si>
    <t>Receive Payment Transaction Date</t>
  </si>
  <si>
    <t>Involved Party Id</t>
  </si>
  <si>
    <t>Involved Party Name</t>
  </si>
  <si>
    <t>Country Id of Involved Party</t>
  </si>
  <si>
    <t>Debt Instrument Type</t>
  </si>
  <si>
    <t>ISIN Code</t>
  </si>
  <si>
    <t>Debt Instrument Name</t>
  </si>
  <si>
    <t>Issuer or Invested Organization Name</t>
  </si>
  <si>
    <t>Country Id of Issuer or Invested Organization</t>
  </si>
  <si>
    <t>Issue Date</t>
  </si>
  <si>
    <t>Maturity Date</t>
  </si>
  <si>
    <t>Original Term</t>
  </si>
  <si>
    <t>Original Term Unit</t>
  </si>
  <si>
    <t>Coupon Rate</t>
  </si>
  <si>
    <t>Intention Country Id</t>
  </si>
  <si>
    <t>Unit of Transaction</t>
  </si>
  <si>
    <t>Sell Foreign Currency Security Transaction Amount in Baht Equivalent</t>
  </si>
  <si>
    <t>Defaulted Bill Purchase Date</t>
  </si>
  <si>
    <t>Template Test Case</t>
  </si>
  <si>
    <t>#</t>
  </si>
  <si>
    <t>From Account</t>
  </si>
  <si>
    <t>Settlement (if any CCY)</t>
  </si>
  <si>
    <t>To Account</t>
  </si>
  <si>
    <t>Status</t>
  </si>
  <si>
    <t>BOT AF1 Report</t>
  </si>
  <si>
    <t>Test No.</t>
  </si>
  <si>
    <t>Time</t>
  </si>
  <si>
    <t>Transaction ID/ Reconcile ID</t>
  </si>
  <si>
    <t>Referrence no.</t>
  </si>
  <si>
    <t>Payment Referrence ID</t>
  </si>
  <si>
    <t>Paid Date</t>
  </si>
  <si>
    <t>From Channel</t>
  </si>
  <si>
    <t>To Channel</t>
  </si>
  <si>
    <t>Transaction type</t>
  </si>
  <si>
    <t xml:space="preserve">Payment Rail </t>
  </si>
  <si>
    <t>From CIF Name (Client/Sender)</t>
  </si>
  <si>
    <t>From Bank Code / Branch (Client/Sender)</t>
  </si>
  <si>
    <t>From Bank name (Client/Sender)</t>
  </si>
  <si>
    <t>From Account Type</t>
  </si>
  <si>
    <t xml:space="preserve">From Mobile no.  </t>
  </si>
  <si>
    <t>From Customer (Resident/Non Resident)</t>
  </si>
  <si>
    <t>From Customer Type Code</t>
  </si>
  <si>
    <t>From Customer Type Description</t>
  </si>
  <si>
    <t>From Region (Sender Country)</t>
  </si>
  <si>
    <t>From BOT Purpose code</t>
  </si>
  <si>
    <t>From BOT Purpose name</t>
  </si>
  <si>
    <t>From FX Rate (Customer Rate)</t>
  </si>
  <si>
    <t>From eWHT Amount</t>
  </si>
  <si>
    <t>From THB Equivalent Transfer Amount</t>
  </si>
  <si>
    <t>From Sender Status</t>
  </si>
  <si>
    <t>Settled Amount (CCY)</t>
  </si>
  <si>
    <t>Settled Currency (CCY)</t>
  </si>
  <si>
    <t>Settled Ex Rate</t>
  </si>
  <si>
    <t>To CIF No. (Beneficiary)</t>
  </si>
  <si>
    <t>To CIF Name (Beneficiary)</t>
  </si>
  <si>
    <t>To Bank Code / Branch (Client/Sender)</t>
  </si>
  <si>
    <t>To Bank name (Beneficiary)</t>
  </si>
  <si>
    <t>To Account (A/C Beneficiary)</t>
  </si>
  <si>
    <t>To Account Type (Beneficiary)</t>
  </si>
  <si>
    <t>To tdTenor</t>
  </si>
  <si>
    <t>To tdTenorUnit</t>
  </si>
  <si>
    <t>To Customer (Resident/Non Resident)</t>
  </si>
  <si>
    <t>To Customer Type</t>
  </si>
  <si>
    <t>To Customer Type Description</t>
  </si>
  <si>
    <t>To Region (Bene Country)</t>
  </si>
  <si>
    <t>To Currency (CCY)</t>
  </si>
  <si>
    <t>To FX Rate (Customer Rate)</t>
  </si>
  <si>
    <t>To Credit Amount (To Amount)</t>
  </si>
  <si>
    <t>To THB Equivalent Transfer Amount</t>
  </si>
  <si>
    <t>To Receriver Status</t>
  </si>
  <si>
    <t>Fee Charge Type 1</t>
  </si>
  <si>
    <t>Fee Charge Account Type 1</t>
  </si>
  <si>
    <t>Bank Code Type 1</t>
  </si>
  <si>
    <t>Branch Code Type 1</t>
  </si>
  <si>
    <t>Fee Timing Type 1</t>
  </si>
  <si>
    <t>Fee Currency Type 1</t>
  </si>
  <si>
    <t>Fee Charge Type 2</t>
  </si>
  <si>
    <t>Fee Charge Account Type 2</t>
  </si>
  <si>
    <t>Bank Code Type 2</t>
  </si>
  <si>
    <t>Branch Code Type 2</t>
  </si>
  <si>
    <t>Fee Timing Type 2</t>
  </si>
  <si>
    <t>Fee Amount 2</t>
  </si>
  <si>
    <t>Fee Type 3</t>
  </si>
  <si>
    <t>Fee Charge Type 3</t>
  </si>
  <si>
    <t>Fee Charge Account No. Type 3</t>
  </si>
  <si>
    <t>Fee Charge Account Type 3</t>
  </si>
  <si>
    <t>Bank Code Type 3</t>
  </si>
  <si>
    <t>Branch Code Type 3</t>
  </si>
  <si>
    <t>Fee Timing Type 3</t>
  </si>
  <si>
    <t>Fee Amount 3</t>
  </si>
  <si>
    <t>Fee Currency 3</t>
  </si>
  <si>
    <t>Fee Type 4</t>
  </si>
  <si>
    <t>Fee Charge Type 4</t>
  </si>
  <si>
    <t>Fee Charge Account No. Type 4</t>
  </si>
  <si>
    <t>Fee Charge Account Type 4</t>
  </si>
  <si>
    <t>Bank Code Type 4</t>
  </si>
  <si>
    <t>Branch Code Type 4</t>
  </si>
  <si>
    <t>Fee Amount  Type 4</t>
  </si>
  <si>
    <t>Fee Currency  Type 4</t>
  </si>
  <si>
    <t>Fee Type 5</t>
  </si>
  <si>
    <t>Fee Charge Type 5</t>
  </si>
  <si>
    <t>Fee Charge Account No. Type 5</t>
  </si>
  <si>
    <t>Fee Charge Account Type 5</t>
  </si>
  <si>
    <t>Bank Code Type 5</t>
  </si>
  <si>
    <t>Branch Code Type 5</t>
  </si>
  <si>
    <t>Fee Amount  Type 5</t>
  </si>
  <si>
    <t>Fee Currency  Type 5</t>
  </si>
  <si>
    <t>Transaction Status</t>
  </si>
  <si>
    <t>Status for Downstream</t>
  </si>
  <si>
    <t>FTX</t>
  </si>
  <si>
    <t>FTU</t>
  </si>
  <si>
    <t>FXU</t>
  </si>
  <si>
    <t>OLB</t>
  </si>
  <si>
    <t>LTX</t>
  </si>
  <si>
    <t>PTX</t>
  </si>
  <si>
    <t>DS_PTX Summary Test Results_20260721_092700.xlsx</t>
  </si>
  <si>
    <t xml:space="preserve">Actual Execution Time Start : </t>
  </si>
  <si>
    <t>Actual Execution Time End:</t>
  </si>
  <si>
    <t>Duration Time:</t>
  </si>
  <si>
    <t>ACTUAL 
(Execution %)</t>
  </si>
  <si>
    <t>PASSED
(Pass Rate %)</t>
  </si>
  <si>
    <t>FAILED 
(Fail Rate%)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</si>
</sst>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18"/>
      <color rgb="FFFFC00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22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charset val="222"/>
      <scheme val="minor"/>
    </font>
    <font>
      <b/>
      <sz val="11"/>
      <color rgb="FF000000"/>
      <name val="Calibri"/>
      <family val="2"/>
      <charset val="222"/>
    </font>
    <font>
      <b/>
      <sz val="11"/>
      <color indexed="8"/>
      <name val="Calibri"/>
      <family val="2"/>
      <charset val="222"/>
      <scheme val="minor"/>
    </font>
    <font>
      <b/>
      <sz val="11"/>
      <name val="Calibri"/>
      <family val="2"/>
      <charset val="222"/>
    </font>
    <font>
      <b/>
      <sz val="10"/>
      <name val="Aptos"/>
      <family val="2"/>
      <charset val="222"/>
    </font>
    <font>
      <b/>
      <sz val="10"/>
      <name val="Aptos"/>
      <family val="2"/>
    </font>
    <font>
      <b/>
      <sz val="11"/>
      <color rgb="FFFFFFFF"/>
      <name val="Calibri"/>
      <family val="2"/>
    </font>
    <font>
      <b/>
      <sz val="16"/>
      <color rgb="FF05192D"/>
      <name val="Aptos"/>
      <family val="2"/>
    </font>
    <font>
      <b/>
      <sz val="9"/>
      <color rgb="FF03EF6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rgb="FF03EF62"/>
      <name val="Aptos"/>
      <family val="2"/>
    </font>
    <font>
      <b/>
      <sz val="11"/>
      <color theme="0"/>
      <name val="Aptos"/>
      <family val="2"/>
    </font>
    <font>
      <sz val="11"/>
      <color rgb="FF03EF62"/>
      <name val="Aptos"/>
      <family val="2"/>
    </font>
    <font>
      <sz val="10"/>
      <color rgb="FF03EF62"/>
      <name val="Aptos"/>
      <family val="2"/>
    </font>
    <font>
      <sz val="10"/>
      <color rgb="FF05192D"/>
      <name val="Aptos"/>
      <family val="2"/>
    </font>
    <font>
      <sz val="10"/>
      <color theme="1"/>
      <name val="Aptos"/>
      <family val="2"/>
    </font>
    <font>
      <sz val="10"/>
      <color theme="0"/>
      <name val="Aptos"/>
      <family val="2"/>
    </font>
    <font>
      <b/>
      <sz val="10"/>
      <color rgb="FF0088BA"/>
      <name val="Aptos"/>
      <family val="2"/>
    </font>
    <font>
      <sz val="11"/>
      <color rgb="FF000000"/>
      <name val="Aptos Narrow"/>
      <family val="2"/>
    </font>
    <font>
      <sz val="11"/>
      <color rgb="FFFFFFFF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2F2F2F"/>
      </patternFill>
    </fill>
    <fill>
      <patternFill patternType="solid">
        <fgColor rgb="FF22B14C"/>
      </patternFill>
    </fill>
    <fill>
      <patternFill patternType="solid">
        <fgColor rgb="FFE53935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9E1F2"/>
      </patternFill>
    </fill>
    <fill>
      <patternFill patternType="solid">
        <fgColor rgb="FF8DB4E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4472C4"/>
      </patternFill>
    </fill>
    <fill>
      <patternFill patternType="solid">
        <fgColor rgb="FF05192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8B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3EF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E53935"/>
        <bgColor indexed="64"/>
      </patternFill>
    </fill>
  </fills>
  <borders count="3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/>
      <top style="thin">
        <color theme="1"/>
      </top>
      <bottom style="hair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28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3" fillId="0" borderId="1" xfId="0" applyFont="1" applyBorder="1"/>
    <xf numFmtId="0" fontId="4" fillId="6" borderId="0" xfId="0" applyFont="1" applyFill="1" applyAlignment="1">
      <alignment horizontal="center"/>
    </xf>
    <xf numFmtId="0" fontId="0" fillId="6" borderId="0" xfId="0" applyFill="1"/>
    <xf numFmtId="0" fontId="6" fillId="7" borderId="6" xfId="0" applyFont="1" applyFill="1" applyBorder="1"/>
    <xf numFmtId="0" fontId="7" fillId="0" borderId="0" xfId="0" applyFont="1"/>
    <xf numFmtId="0" fontId="8" fillId="8" borderId="10" xfId="0" applyFont="1" applyFill="1" applyBorder="1" applyAlignment="1">
      <alignment horizontal="center" vertical="center" wrapText="1"/>
    </xf>
    <xf numFmtId="0" fontId="8" fillId="8" borderId="11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vertical="top" wrapText="1"/>
    </xf>
    <xf numFmtId="0" fontId="9" fillId="6" borderId="13" xfId="0" applyFont="1" applyFill="1" applyBorder="1" applyAlignment="1">
      <alignment vertical="top" wrapText="1"/>
    </xf>
    <xf numFmtId="0" fontId="9" fillId="6" borderId="14" xfId="0" applyFont="1" applyFill="1" applyBorder="1" applyAlignment="1">
      <alignment vertical="top" wrapText="1"/>
    </xf>
    <xf numFmtId="0" fontId="7" fillId="7" borderId="0" xfId="0" applyFont="1" applyFill="1"/>
    <xf numFmtId="0" fontId="10" fillId="6" borderId="15" xfId="0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vertical="center"/>
    </xf>
    <xf numFmtId="0" fontId="11" fillId="6" borderId="16" xfId="0" applyFont="1" applyFill="1" applyBorder="1" applyAlignment="1">
      <alignment horizontal="left" vertical="center"/>
    </xf>
    <xf numFmtId="0" fontId="11" fillId="9" borderId="16" xfId="0" applyFont="1" applyFill="1" applyBorder="1" applyAlignment="1">
      <alignment vertical="center"/>
    </xf>
    <xf numFmtId="0" fontId="11" fillId="10" borderId="16" xfId="0" applyFont="1" applyFill="1" applyBorder="1" applyAlignment="1">
      <alignment horizontal="center" vertical="center"/>
    </xf>
    <xf numFmtId="0" fontId="11" fillId="10" borderId="16" xfId="0" applyFont="1" applyFill="1" applyBorder="1" applyAlignment="1">
      <alignment horizontal="left" vertical="center"/>
    </xf>
    <xf numFmtId="0" fontId="11" fillId="9" borderId="16" xfId="0" applyFont="1" applyFill="1" applyBorder="1" applyAlignment="1">
      <alignment horizontal="left" vertical="center"/>
    </xf>
    <xf numFmtId="0" fontId="12" fillId="10" borderId="16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left" vertical="center"/>
    </xf>
    <xf numFmtId="0" fontId="12" fillId="9" borderId="16" xfId="0" applyFont="1" applyFill="1" applyBorder="1" applyAlignment="1">
      <alignment horizontal="left" vertical="center"/>
    </xf>
    <xf numFmtId="0" fontId="13" fillId="12" borderId="17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5" fillId="13" borderId="0" xfId="0" applyFont="1" applyFill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16" fillId="14" borderId="0" xfId="0" applyFont="1" applyFill="1" applyAlignment="1">
      <alignment horizontal="center" vertical="top"/>
    </xf>
    <xf numFmtId="0" fontId="1" fillId="0" borderId="0" xfId="0" applyFont="1" applyAlignment="1">
      <alignment horizontal="center"/>
    </xf>
    <xf numFmtId="0" fontId="17" fillId="0" borderId="0" xfId="0" applyFont="1"/>
    <xf numFmtId="0" fontId="19" fillId="15" borderId="20" xfId="0" applyFont="1" applyFill="1" applyBorder="1"/>
    <xf numFmtId="0" fontId="18" fillId="13" borderId="21" xfId="0" applyFont="1" applyFill="1" applyBorder="1"/>
    <xf numFmtId="0" fontId="18" fillId="13" borderId="20" xfId="0" applyFont="1" applyFill="1" applyBorder="1"/>
    <xf numFmtId="0" fontId="18" fillId="13" borderId="22" xfId="0" applyFont="1" applyFill="1" applyBorder="1"/>
    <xf numFmtId="0" fontId="20" fillId="13" borderId="21" xfId="0" applyFont="1" applyFill="1" applyBorder="1" applyAlignment="1">
      <alignment horizontal="center"/>
    </xf>
    <xf numFmtId="0" fontId="20" fillId="13" borderId="20" xfId="0" applyFont="1" applyFill="1" applyBorder="1" applyAlignment="1">
      <alignment horizontal="center"/>
    </xf>
    <xf numFmtId="0" fontId="21" fillId="16" borderId="23" xfId="0" applyFont="1" applyFill="1" applyBorder="1" applyAlignment="1">
      <alignment horizontal="center" vertical="center"/>
    </xf>
    <xf numFmtId="0" fontId="21" fillId="13" borderId="24" xfId="0" applyFont="1" applyFill="1" applyBorder="1" applyAlignment="1">
      <alignment horizontal="center" vertical="center"/>
    </xf>
    <xf numFmtId="0" fontId="21" fillId="13" borderId="25" xfId="0" applyFont="1" applyFill="1" applyBorder="1" applyAlignment="1">
      <alignment horizontal="center" vertical="center"/>
    </xf>
    <xf numFmtId="0" fontId="22" fillId="17" borderId="26" xfId="0" applyFont="1" applyFill="1" applyBorder="1" applyAlignment="1">
      <alignment vertical="center"/>
    </xf>
    <xf numFmtId="0" fontId="22" fillId="17" borderId="24" xfId="0" applyFont="1" applyFill="1" applyBorder="1" applyAlignment="1">
      <alignment vertical="center"/>
    </xf>
    <xf numFmtId="0" fontId="22" fillId="17" borderId="24" xfId="0" applyFont="1" applyFill="1" applyBorder="1" applyAlignment="1">
      <alignment horizontal="left" vertical="center"/>
    </xf>
    <xf numFmtId="0" fontId="22" fillId="17" borderId="27" xfId="0" applyFont="1" applyFill="1" applyBorder="1" applyAlignment="1">
      <alignment horizontal="left" vertical="center"/>
    </xf>
    <xf numFmtId="0" fontId="23" fillId="18" borderId="28" xfId="0" applyFont="1" applyFill="1" applyBorder="1" applyAlignment="1">
      <alignment horizontal="center" vertical="center"/>
    </xf>
    <xf numFmtId="0" fontId="23" fillId="18" borderId="24" xfId="0" applyFont="1" applyFill="1" applyBorder="1" applyAlignment="1">
      <alignment horizontal="center" vertical="center"/>
    </xf>
    <xf numFmtId="0" fontId="23" fillId="18" borderId="25" xfId="0" applyFont="1" applyFill="1" applyBorder="1" applyAlignment="1">
      <alignment horizontal="center" vertical="center"/>
    </xf>
    <xf numFmtId="0" fontId="22" fillId="14" borderId="24" xfId="0" applyFont="1" applyFill="1" applyBorder="1" applyAlignment="1">
      <alignment vertical="center"/>
    </xf>
    <xf numFmtId="0" fontId="24" fillId="19" borderId="24" xfId="0" applyFont="1" applyFill="1" applyBorder="1" applyAlignment="1">
      <alignment horizontal="center" vertical="center"/>
    </xf>
    <xf numFmtId="0" fontId="24" fillId="19" borderId="24" xfId="0" applyFont="1" applyFill="1" applyBorder="1" applyAlignment="1">
      <alignment horizontal="left" vertical="center"/>
    </xf>
    <xf numFmtId="49" fontId="24" fillId="19" borderId="24" xfId="0" applyNumberFormat="1" applyFont="1" applyFill="1" applyBorder="1" applyAlignment="1">
      <alignment horizontal="center" vertical="center"/>
    </xf>
    <xf numFmtId="0" fontId="24" fillId="20" borderId="24" xfId="0" applyFont="1" applyFill="1" applyBorder="1" applyAlignment="1">
      <alignment horizontal="center" vertical="center"/>
    </xf>
    <xf numFmtId="0" fontId="24" fillId="21" borderId="24" xfId="0" applyFont="1" applyFill="1" applyBorder="1" applyAlignment="1">
      <alignment horizontal="center" vertical="center"/>
    </xf>
    <xf numFmtId="0" fontId="23" fillId="11" borderId="28" xfId="0" applyFont="1" applyFill="1" applyBorder="1" applyAlignment="1">
      <alignment horizontal="center" vertical="center"/>
    </xf>
    <xf numFmtId="0" fontId="23" fillId="11" borderId="24" xfId="0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5" fillId="0" borderId="24" xfId="0" applyFont="1" applyBorder="1" applyAlignment="1">
      <alignment horizontal="center" vertical="center"/>
    </xf>
    <xf numFmtId="0" fontId="26" fillId="22" borderId="0" xfId="0" applyFont="1" applyFill="1"/>
    <xf numFmtId="0" fontId="27" fillId="23" borderId="0" xfId="0" applyFont="1" applyFill="1"/>
    <xf numFmtId="21" fontId="30" fillId="0" borderId="1" xfId="0" applyNumberFormat="1" applyFont="1" applyBorder="1" applyAlignment="1">
      <alignment horizontal="left"/>
    </xf>
    <xf numFmtId="0" fontId="0" fillId="0" borderId="32" xfId="0" applyBorder="1"/>
    <xf numFmtId="0" fontId="0" fillId="0" borderId="30" xfId="0" applyBorder="1"/>
    <xf numFmtId="0" fontId="29" fillId="24" borderId="31" xfId="0" applyFont="1" applyFill="1" applyBorder="1" applyAlignment="1">
      <alignment horizontal="center" vertical="center" wrapText="1"/>
    </xf>
    <xf numFmtId="0" fontId="29" fillId="16" borderId="31" xfId="0" applyFont="1" applyFill="1" applyBorder="1" applyAlignment="1">
      <alignment horizontal="center" vertical="center" wrapText="1"/>
    </xf>
    <xf numFmtId="9" fontId="0" fillId="0" borderId="31" xfId="1" applyFont="1" applyBorder="1" applyAlignment="1">
      <alignment horizontal="center"/>
    </xf>
    <xf numFmtId="9" fontId="0" fillId="0" borderId="31" xfId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4" fillId="4" borderId="31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0" fillId="0" borderId="31" xfId="0" applyBorder="1"/>
    <xf numFmtId="0" fontId="4" fillId="3" borderId="31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29" fillId="25" borderId="31" xfId="0" applyFont="1" applyFill="1" applyBorder="1" applyAlignment="1">
      <alignment horizontal="center" vertical="center" wrapText="1"/>
    </xf>
    <xf numFmtId="9" fontId="0" fillId="0" borderId="31" xfId="1" applyFont="1" applyBorder="1" applyAlignment="1">
      <alignment horizontal="center" vertical="center"/>
    </xf>
    <xf numFmtId="0" fontId="18" fillId="13" borderId="18" xfId="0" applyFont="1" applyFill="1" applyBorder="1" applyAlignment="1">
      <alignment horizontal="center"/>
    </xf>
    <xf numFmtId="0" fontId="18" fillId="13" borderId="0" xfId="0" applyFont="1" applyFill="1" applyAlignment="1">
      <alignment horizontal="center"/>
    </xf>
    <xf numFmtId="0" fontId="18" fillId="13" borderId="19" xfId="0" applyFont="1" applyFill="1" applyBorder="1" applyAlignment="1">
      <alignment horizontal="center"/>
    </xf>
    <xf numFmtId="0" fontId="18" fillId="13" borderId="20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53935"/>
      <color rgb="FFE63700"/>
      <color rgb="FFFF0000"/>
      <color rgb="FFFF5050"/>
      <color rgb="FFCC33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  <pageSetUpPr fitToPage="1"/>
  </sheetPr>
  <dimension ref="B1:AC29"/>
  <sheetViews>
    <sheetView tabSelected="1" zoomScale="85" zoomScaleNormal="85" workbookViewId="0">
      <pane ySplit="16" topLeftCell="A17" activePane="bottomLeft" state="frozen"/>
      <selection pane="bottomLeft" activeCell="J5" sqref="J5"/>
    </sheetView>
  </sheetViews>
  <sheetFormatPr defaultRowHeight="14.45" customHeight="1" outlineLevelRow="1"/>
  <cols>
    <col min="1" max="1" width="4" customWidth="1"/>
    <col min="2" max="2" width="27.85546875" bestFit="1" customWidth="1"/>
    <col min="3" max="3" width="50" customWidth="1"/>
    <col min="4" max="4" width="16" customWidth="1"/>
    <col min="5" max="5" width="13.28515625" customWidth="1"/>
    <col min="6" max="6" width="20" customWidth="1"/>
    <col min="7" max="11" width="18" customWidth="1"/>
    <col min="12" max="12" width="1.7109375" customWidth="1"/>
    <col min="13" max="13" width="16" customWidth="1"/>
    <col min="14" max="14" width="18.28515625" customWidth="1"/>
    <col min="15" max="15" width="8.28515625" customWidth="1"/>
    <col min="16" max="16" width="48.85546875" customWidth="1"/>
    <col min="17" max="17" width="25.28515625" customWidth="1"/>
    <col min="18" max="18" width="30.140625" customWidth="1"/>
    <col min="19" max="19" width="18.85546875" customWidth="1"/>
    <col min="20" max="20" width="19.5703125" customWidth="1"/>
    <col min="21" max="21" width="21.5703125" customWidth="1"/>
    <col min="22" max="22" width="10.5703125" customWidth="1"/>
    <col min="23" max="23" width="29.140625" customWidth="1"/>
    <col min="24" max="24" width="25.5703125" customWidth="1"/>
    <col min="25" max="25" width="14.28515625" customWidth="1"/>
    <col min="26" max="26" width="10.5703125" customWidth="1"/>
    <col min="27" max="27" width="29.140625" customWidth="1"/>
    <col min="28" max="28" width="25.5703125" customWidth="1"/>
    <col min="29" max="29" width="14.28515625" customWidth="1"/>
  </cols>
  <sheetData>
    <row r="1" spans="2:29" ht="1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29" ht="28.5" customHeight="1">
      <c r="B2" s="76" t="s">
        <v>0</v>
      </c>
      <c r="C2" s="77"/>
      <c r="D2" s="77"/>
      <c r="E2" s="77"/>
      <c r="F2" s="77"/>
      <c r="G2" s="77"/>
      <c r="H2" s="77"/>
      <c r="I2" s="77"/>
      <c r="J2" s="77"/>
      <c r="K2" s="77"/>
      <c r="L2" s="77"/>
    </row>
    <row r="3" spans="2:29" ht="15" customHeight="1">
      <c r="B3" s="77"/>
      <c r="C3" s="77"/>
      <c r="D3" s="77"/>
      <c r="E3" s="77"/>
      <c r="F3" s="77"/>
      <c r="G3" s="77"/>
      <c r="H3" s="77"/>
      <c r="I3" s="77"/>
      <c r="J3" s="78"/>
      <c r="K3" s="78"/>
      <c r="L3" s="78"/>
    </row>
    <row r="4" spans="2:29" ht="36.75" customHeight="1" outlineLevel="1" collapsed="1">
      <c r="B4" s="1"/>
      <c r="C4" s="1"/>
      <c r="D4" s="1"/>
      <c r="E4" s="1"/>
      <c r="F4" s="1"/>
      <c r="G4" s="1"/>
      <c r="H4" s="1"/>
      <c r="I4" s="62"/>
      <c r="J4" s="64" t="s">
        <v>168</v>
      </c>
      <c r="K4" s="65" t="s">
        <v>169</v>
      </c>
      <c r="L4" s="84" t="s">
        <v>170</v>
      </c>
      <c r="M4" s="84"/>
    </row>
    <row r="5" spans="2:29" ht="15" customHeight="1" outlineLevel="1">
      <c r="B5" s="1"/>
      <c r="C5" s="1"/>
      <c r="E5" s="1"/>
      <c r="F5" s="1"/>
      <c r="G5" s="1"/>
      <c r="H5" s="1"/>
      <c r="I5" s="62"/>
      <c r="J5" s="66">
        <f>J8/(J8-0)</f>
        <v>1</v>
      </c>
      <c r="K5" s="67">
        <f>K8/J8</f>
        <v>0.92307692307692313</v>
      </c>
      <c r="L5" s="85">
        <f>L8/J8</f>
        <v>7.6923076923076927E-2</v>
      </c>
      <c r="M5" s="85"/>
    </row>
    <row r="6" spans="2:29" ht="15" customHeight="1" outlineLevel="1" collapsed="1">
      <c r="B6" s="2" t="s">
        <v>1</v>
      </c>
      <c r="C6" s="1" t="s">
        <v>164</v>
      </c>
      <c r="E6" s="1"/>
      <c r="F6" s="1"/>
      <c r="G6" s="1"/>
      <c r="H6" s="1"/>
      <c r="I6" s="62"/>
      <c r="J6" s="80" t="s">
        <v>2</v>
      </c>
      <c r="K6" s="82" t="s">
        <v>3</v>
      </c>
      <c r="L6" s="79" t="s">
        <v>4</v>
      </c>
      <c r="M6" s="79"/>
    </row>
    <row r="7" spans="2:29" ht="15" customHeight="1" outlineLevel="1" collapsed="1">
      <c r="B7" s="2" t="s">
        <v>5</v>
      </c>
      <c r="C7" s="1" t="s">
        <v>6</v>
      </c>
      <c r="E7" s="1"/>
      <c r="F7" s="1"/>
      <c r="G7" s="1"/>
      <c r="H7" s="1"/>
      <c r="I7" s="62"/>
      <c r="J7" s="81"/>
      <c r="K7" s="81"/>
      <c r="L7" s="79"/>
      <c r="M7" s="79"/>
    </row>
    <row r="8" spans="2:29" ht="15" customHeight="1" outlineLevel="1">
      <c r="B8" s="2" t="s">
        <v>165</v>
      </c>
      <c r="C8" s="61">
        <v>0.37552083333333336</v>
      </c>
      <c r="E8" s="1"/>
      <c r="F8" s="1"/>
      <c r="G8" s="1"/>
      <c r="H8" s="1"/>
      <c r="I8" s="62"/>
      <c r="J8" s="83">
        <v>13</v>
      </c>
      <c r="K8" s="83">
        <v>12</v>
      </c>
      <c r="L8" s="83">
        <v>1</v>
      </c>
      <c r="M8" s="83"/>
    </row>
    <row r="9" spans="2:29" ht="15" customHeight="1" outlineLevel="1">
      <c r="B9" s="2" t="s">
        <v>166</v>
      </c>
      <c r="C9" s="61">
        <v>0.39149305555555558</v>
      </c>
      <c r="E9" s="1"/>
      <c r="F9" s="1"/>
      <c r="G9" s="1"/>
      <c r="H9" s="1"/>
      <c r="I9" s="62"/>
      <c r="J9" s="83"/>
      <c r="K9" s="83"/>
      <c r="L9" s="83"/>
      <c r="M9" s="83"/>
    </row>
    <row r="10" spans="2:29" ht="15" customHeight="1" outlineLevel="1" collapsed="1">
      <c r="B10" s="2" t="s">
        <v>167</v>
      </c>
      <c r="C10" s="61">
        <v>1.5972222222222221E-2</v>
      </c>
      <c r="E10" s="1"/>
      <c r="F10" s="1"/>
      <c r="G10" s="1"/>
      <c r="H10" s="1"/>
      <c r="I10" s="62"/>
      <c r="J10" s="83"/>
      <c r="K10" s="83"/>
      <c r="L10" s="83"/>
      <c r="M10" s="83"/>
    </row>
    <row r="11" spans="2:29" ht="15" customHeight="1" outlineLevel="1" collapsed="1">
      <c r="B11" s="2" t="s">
        <v>7</v>
      </c>
      <c r="C11" s="1" t="s">
        <v>8</v>
      </c>
      <c r="E11" s="1"/>
      <c r="F11" s="1"/>
      <c r="G11" s="1"/>
      <c r="H11" s="1"/>
      <c r="I11" s="62"/>
      <c r="J11" s="83"/>
      <c r="K11" s="83"/>
      <c r="L11" s="83"/>
      <c r="M11" s="83"/>
    </row>
    <row r="12" spans="2:29" ht="15" customHeight="1" outlineLevel="1" collapsed="1">
      <c r="B12" s="2" t="s">
        <v>9</v>
      </c>
      <c r="C12" s="1" t="s">
        <v>10</v>
      </c>
      <c r="E12" s="1"/>
      <c r="F12" s="1"/>
      <c r="G12" s="1"/>
      <c r="H12" s="1"/>
      <c r="I12" s="62"/>
      <c r="J12" s="83"/>
      <c r="K12" s="83"/>
      <c r="L12" s="83"/>
      <c r="M12" s="83"/>
    </row>
    <row r="13" spans="2:29" ht="15" customHeight="1" outlineLevel="1" collapsed="1">
      <c r="B13" s="1"/>
      <c r="C13" s="1"/>
      <c r="D13" s="1"/>
      <c r="E13" s="1"/>
      <c r="F13" s="1"/>
      <c r="G13" s="1"/>
      <c r="H13" s="1"/>
      <c r="I13" s="1"/>
      <c r="J13" s="63"/>
      <c r="K13" s="63"/>
      <c r="L13" s="63"/>
    </row>
    <row r="14" spans="2:29" ht="15.75" customHeight="1" thickBot="1">
      <c r="B14" s="68" t="s">
        <v>11</v>
      </c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</row>
    <row r="15" spans="2:29" ht="21.75" customHeight="1">
      <c r="B15" s="3"/>
      <c r="C15" s="4"/>
      <c r="D15" s="70" t="s">
        <v>12</v>
      </c>
      <c r="E15" s="71"/>
      <c r="F15" s="71"/>
      <c r="G15" s="71"/>
      <c r="H15" s="71"/>
      <c r="I15" s="71"/>
      <c r="J15" s="71"/>
      <c r="K15" s="72"/>
      <c r="L15" s="5"/>
      <c r="M15" s="73" t="s">
        <v>13</v>
      </c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5"/>
    </row>
    <row r="16" spans="2:29" s="6" customFormat="1" ht="45" customHeight="1">
      <c r="B16" s="7" t="s">
        <v>14</v>
      </c>
      <c r="C16" s="8" t="s">
        <v>15</v>
      </c>
      <c r="D16" s="9" t="s">
        <v>16</v>
      </c>
      <c r="E16" s="10" t="s">
        <v>17</v>
      </c>
      <c r="F16" s="10" t="s">
        <v>18</v>
      </c>
      <c r="G16" s="10" t="s">
        <v>19</v>
      </c>
      <c r="H16" s="10" t="s">
        <v>20</v>
      </c>
      <c r="I16" s="10" t="s">
        <v>21</v>
      </c>
      <c r="J16" s="10" t="s">
        <v>22</v>
      </c>
      <c r="K16" s="11" t="s">
        <v>23</v>
      </c>
      <c r="L16" s="12"/>
      <c r="M16" s="13" t="s">
        <v>24</v>
      </c>
      <c r="N16" s="14" t="s">
        <v>25</v>
      </c>
      <c r="O16" s="14" t="s">
        <v>26</v>
      </c>
      <c r="P16" s="15" t="s">
        <v>16</v>
      </c>
      <c r="Q16" s="16" t="s">
        <v>27</v>
      </c>
      <c r="R16" s="16" t="s">
        <v>28</v>
      </c>
      <c r="S16" s="17" t="s">
        <v>29</v>
      </c>
      <c r="T16" s="16" t="s">
        <v>30</v>
      </c>
      <c r="U16" s="18" t="s">
        <v>31</v>
      </c>
      <c r="V16" s="19" t="s">
        <v>32</v>
      </c>
      <c r="W16" s="20" t="s">
        <v>33</v>
      </c>
      <c r="X16" s="21" t="s">
        <v>34</v>
      </c>
      <c r="Y16" s="19" t="s">
        <v>35</v>
      </c>
      <c r="Z16" s="22" t="s">
        <v>36</v>
      </c>
      <c r="AA16" s="23" t="s">
        <v>37</v>
      </c>
      <c r="AB16" s="24" t="s">
        <v>38</v>
      </c>
      <c r="AC16" s="22" t="s">
        <v>39</v>
      </c>
    </row>
    <row r="17" ht="36" customHeight="1"/>
    <row r="18" ht="36" customHeight="1"/>
    <row r="19" ht="36" customHeight="1"/>
    <row r="20" ht="36" customHeight="1"/>
    <row r="21" ht="36" customHeight="1"/>
    <row r="22" ht="36" customHeight="1"/>
    <row r="23" ht="36" customHeight="1"/>
    <row r="24" ht="36" customHeight="1"/>
    <row r="25" ht="36" customHeight="1"/>
    <row r="26" ht="36" customHeight="1"/>
    <row r="27" ht="36" customHeight="1"/>
    <row r="28" ht="36" customHeight="1"/>
    <row r="29" ht="36" customHeight="1"/>
  </sheetData>
  <mergeCells count="12">
    <mergeCell ref="B14:AC14"/>
    <mergeCell ref="D15:K15"/>
    <mergeCell ref="M15:AC15"/>
    <mergeCell ref="B2:L3"/>
    <mergeCell ref="L6:M7"/>
    <mergeCell ref="J6:J7"/>
    <mergeCell ref="K6:K7"/>
    <mergeCell ref="J8:J12"/>
    <mergeCell ref="K8:K12"/>
    <mergeCell ref="L8:M12"/>
    <mergeCell ref="L4:M4"/>
    <mergeCell ref="L5:M5"/>
  </mergeCells>
  <pageMargins left="0" right="0" top="0" bottom="0" header="0" footer="0"/>
  <pageSetup paperSize="9" fitToHeight="0" orientation="landscape"/>
  <headerFooter>
    <oddFooter>Compare source: DS_PTX_Compare_Result_20260721_092700.xlsx | Original Test Data source: Test_Data_Downstream-for pilot.xlsx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18F13-A1D8-4530-ABE2-2CAA0DAD81DF}">
  <sheetPr>
    <tabColor rgb="FF002060"/>
  </sheetPr>
  <dimension ref="A1:AJ111"/>
  <sheetViews>
    <sheetView workbookViewId="0">
      <pane xSplit="3" ySplit="1" topLeftCell="D2" activePane="bottomRight" state="frozen"/>
      <selection pane="topRight"/>
      <selection pane="bottomLeft"/>
      <selection pane="bottomRight" activeCell="A2" sqref="A2:AJ111"/>
    </sheetView>
  </sheetViews>
  <sheetFormatPr defaultRowHeight="15"/>
  <cols>
    <col min="1" max="1" width="18" customWidth="1"/>
    <col min="2" max="2" width="12" customWidth="1"/>
    <col min="3" max="3" width="60" customWidth="1"/>
    <col min="4" max="5" width="18" customWidth="1"/>
    <col min="6" max="6" width="52" customWidth="1"/>
    <col min="7" max="9" width="18" customWidth="1"/>
    <col min="10" max="11" width="24" customWidth="1"/>
    <col min="12" max="12" width="18" customWidth="1"/>
    <col min="13" max="13" width="28" customWidth="1"/>
    <col min="14" max="14" width="24" customWidth="1"/>
    <col min="15" max="16" width="28" customWidth="1"/>
    <col min="17" max="18" width="18" customWidth="1"/>
    <col min="19" max="19" width="24" customWidth="1"/>
    <col min="20" max="21" width="18" customWidth="1"/>
    <col min="22" max="22" width="25" customWidth="1"/>
    <col min="23" max="25" width="18" customWidth="1"/>
    <col min="26" max="26" width="34" customWidth="1"/>
    <col min="27" max="27" width="30" customWidth="1"/>
    <col min="28" max="34" width="18" customWidth="1"/>
    <col min="35" max="35" width="38" customWidth="1"/>
    <col min="36" max="36" width="24" customWidth="1"/>
  </cols>
  <sheetData>
    <row r="1" spans="1:36" ht="54.95" customHeight="1">
      <c r="A1" s="25" t="s">
        <v>24</v>
      </c>
      <c r="B1" s="25" t="s">
        <v>40</v>
      </c>
      <c r="C1" s="25" t="s">
        <v>41</v>
      </c>
      <c r="D1" s="25" t="s">
        <v>42</v>
      </c>
      <c r="E1" s="25" t="s">
        <v>43</v>
      </c>
      <c r="F1" s="25" t="s">
        <v>16</v>
      </c>
      <c r="G1" s="25" t="s">
        <v>44</v>
      </c>
      <c r="H1" s="25" t="s">
        <v>45</v>
      </c>
      <c r="I1" s="25" t="s">
        <v>46</v>
      </c>
      <c r="J1" s="25" t="s">
        <v>47</v>
      </c>
      <c r="K1" s="25" t="s">
        <v>48</v>
      </c>
      <c r="L1" s="25" t="s">
        <v>17</v>
      </c>
      <c r="M1" s="25" t="s">
        <v>18</v>
      </c>
      <c r="N1" s="25" t="s">
        <v>19</v>
      </c>
      <c r="O1" s="25" t="s">
        <v>20</v>
      </c>
      <c r="P1" s="25" t="s">
        <v>49</v>
      </c>
      <c r="Q1" s="25" t="s">
        <v>50</v>
      </c>
      <c r="R1" s="25" t="s">
        <v>51</v>
      </c>
      <c r="S1" s="25" t="s">
        <v>52</v>
      </c>
      <c r="T1" s="25" t="s">
        <v>21</v>
      </c>
      <c r="U1" s="25" t="s">
        <v>22</v>
      </c>
      <c r="V1" s="25" t="s">
        <v>23</v>
      </c>
      <c r="W1" s="25" t="s">
        <v>53</v>
      </c>
      <c r="X1" s="25" t="s">
        <v>54</v>
      </c>
      <c r="Y1" s="25" t="s">
        <v>55</v>
      </c>
      <c r="Z1" s="25" t="s">
        <v>56</v>
      </c>
      <c r="AA1" s="25" t="s">
        <v>57</v>
      </c>
      <c r="AB1" s="25" t="s">
        <v>58</v>
      </c>
      <c r="AC1" s="25" t="s">
        <v>59</v>
      </c>
      <c r="AD1" s="25" t="s">
        <v>60</v>
      </c>
      <c r="AE1" s="25" t="s">
        <v>61</v>
      </c>
      <c r="AF1" s="25" t="s">
        <v>62</v>
      </c>
      <c r="AG1" s="25" t="s">
        <v>63</v>
      </c>
      <c r="AH1" s="25" t="s">
        <v>64</v>
      </c>
      <c r="AI1" s="25" t="s">
        <v>65</v>
      </c>
      <c r="AJ1" s="25" t="s">
        <v>66</v>
      </c>
    </row>
    <row r="2" spans="1:36" ht="21.95" customHeight="1"/>
    <row r="3" spans="1:36" ht="21.95" customHeight="1"/>
    <row r="4" spans="1:36" ht="21.95" customHeight="1"/>
    <row r="5" spans="1:36" ht="21.95" customHeight="1"/>
    <row r="6" spans="1:36" ht="21.95" customHeight="1"/>
    <row r="7" spans="1:36" ht="21.95" customHeight="1"/>
    <row r="8" spans="1:36" ht="21.95" customHeight="1"/>
    <row r="9" spans="1:36" ht="21.95" customHeight="1"/>
    <row r="10" spans="1:36" ht="21.95" customHeight="1"/>
    <row r="11" spans="1:36" ht="21.95" customHeight="1"/>
    <row r="12" spans="1:36" ht="21.95" customHeight="1"/>
    <row r="13" spans="1:36" ht="21.95" customHeight="1"/>
    <row r="14" spans="1:36" ht="21.95" customHeight="1"/>
    <row r="15" spans="1:36" ht="21.95" customHeight="1"/>
    <row r="16" spans="1:36" ht="21.95" customHeight="1"/>
    <row r="17" ht="21.95" customHeight="1"/>
    <row r="18" ht="21.95" customHeight="1"/>
    <row r="19" ht="21.95" customHeight="1"/>
    <row r="20" ht="21.95" customHeight="1"/>
    <row r="21" ht="21.95" customHeight="1"/>
    <row r="22" ht="21.95" customHeight="1"/>
    <row r="23" ht="21.95" customHeight="1"/>
    <row r="24" ht="21.95" customHeight="1"/>
    <row r="25" ht="21.95" customHeight="1"/>
    <row r="26" ht="21.95" customHeight="1"/>
    <row r="27" ht="21.95" customHeight="1"/>
    <row r="28" ht="21.95" customHeight="1"/>
    <row r="29" ht="21.95" customHeight="1"/>
    <row r="30" ht="21.95" customHeight="1"/>
    <row r="31" ht="21.95" customHeight="1"/>
    <row r="32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  <row r="53" ht="21.95" customHeight="1"/>
    <row r="54" ht="21.95" customHeight="1"/>
    <row r="55" ht="21.95" customHeight="1"/>
    <row r="56" ht="21.95" customHeight="1"/>
    <row r="57" ht="21.95" customHeight="1"/>
    <row r="58" ht="21.95" customHeight="1"/>
    <row r="59" ht="21.95" customHeight="1"/>
    <row r="60" ht="21.95" customHeight="1"/>
    <row r="61" ht="21.95" customHeight="1"/>
    <row r="62" ht="21.95" customHeight="1"/>
    <row r="63" ht="21.95" customHeight="1"/>
    <row r="64" ht="21.95" customHeight="1"/>
    <row r="65" ht="21.95" customHeight="1"/>
    <row r="66" ht="21.95" customHeight="1"/>
    <row r="67" ht="21.95" customHeight="1"/>
    <row r="68" ht="21.95" customHeight="1"/>
    <row r="69" ht="21.95" customHeight="1"/>
    <row r="70" ht="21.95" customHeight="1"/>
    <row r="71" ht="21.95" customHeight="1"/>
    <row r="72" ht="21.95" customHeight="1"/>
    <row r="73" ht="21.95" customHeight="1"/>
    <row r="74" ht="21.95" customHeight="1"/>
    <row r="75" ht="21.95" customHeight="1"/>
    <row r="76" ht="21.95" customHeight="1"/>
    <row r="77" ht="21.95" customHeight="1"/>
    <row r="78" ht="21.95" customHeight="1"/>
    <row r="79" ht="21.95" customHeight="1"/>
    <row r="80" ht="21.95" customHeight="1"/>
    <row r="81" ht="21.95" customHeight="1"/>
    <row r="82" ht="21.95" customHeight="1"/>
    <row r="83" ht="21.95" customHeight="1"/>
    <row r="84" ht="21.95" customHeight="1"/>
    <row r="85" ht="21.95" customHeight="1"/>
    <row r="86" ht="21.95" customHeight="1"/>
    <row r="87" ht="21.95" customHeight="1"/>
    <row r="88" ht="21.95" customHeight="1"/>
    <row r="89" ht="21.95" customHeight="1"/>
    <row r="90" ht="21.95" customHeight="1"/>
    <row r="91" ht="21.95" customHeight="1"/>
    <row r="92" ht="21.95" customHeight="1"/>
    <row r="93" ht="21.95" customHeight="1"/>
    <row r="94" ht="21.95" customHeight="1"/>
    <row r="95" ht="21.95" customHeight="1"/>
    <row r="96" ht="21.95" customHeight="1"/>
    <row r="97" ht="21.95" customHeight="1"/>
    <row r="98" ht="21.95" customHeight="1"/>
    <row r="99" ht="21.95" customHeight="1"/>
    <row r="100" ht="21.95" customHeight="1"/>
    <row r="101" ht="21.95" customHeight="1"/>
    <row r="102" ht="21.95" customHeight="1"/>
    <row r="103" ht="21.95" customHeight="1"/>
    <row r="104" ht="21.95" customHeight="1"/>
    <row r="105" ht="21.95" customHeight="1"/>
    <row r="106" ht="21.95" customHeight="1"/>
    <row r="107" ht="21.95" customHeight="1"/>
    <row r="108" ht="21.95" customHeight="1"/>
    <row r="109" ht="21.95" customHeight="1"/>
    <row r="110" ht="30" customHeight="1"/>
    <row r="111" ht="39.950000000000003" customHeight="1"/>
  </sheetData>
  <autoFilter ref="A1:AJ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F991C-2FCC-404B-B768-B945FD7AB35F}">
  <sheetPr>
    <tabColor rgb="FF002060"/>
  </sheetPr>
  <dimension ref="A1:AG1"/>
  <sheetViews>
    <sheetView zoomScaleNormal="100" workbookViewId="0">
      <pane ySplit="1" topLeftCell="A2" activePane="bottomLeft" state="frozen"/>
      <selection pane="bottomLeft" activeCell="C21" sqref="C21"/>
    </sheetView>
  </sheetViews>
  <sheetFormatPr defaultRowHeight="15"/>
  <cols>
    <col min="1" max="1" width="10.42578125" customWidth="1"/>
    <col min="2" max="2" width="9.7109375" customWidth="1"/>
    <col min="3" max="3" width="49.85546875" customWidth="1"/>
    <col min="4" max="4" width="10" customWidth="1"/>
    <col min="5" max="6" width="10.7109375" customWidth="1"/>
    <col min="7" max="7" width="27.85546875" customWidth="1"/>
    <col min="8" max="8" width="25.140625" customWidth="1"/>
    <col min="9" max="9" width="13.28515625" customWidth="1"/>
    <col min="10" max="10" width="32.140625" customWidth="1"/>
    <col min="11" max="11" width="25.85546875" customWidth="1"/>
    <col min="12" max="12" width="31.7109375" customWidth="1"/>
    <col min="13" max="13" width="32" customWidth="1"/>
    <col min="14" max="14" width="16" customWidth="1"/>
    <col min="15" max="15" width="19.7109375" customWidth="1"/>
    <col min="16" max="16" width="26" customWidth="1"/>
    <col min="17" max="17" width="16.7109375" customWidth="1"/>
    <col min="18" max="18" width="11.28515625" customWidth="1"/>
    <col min="19" max="19" width="37.140625" customWidth="1"/>
    <col min="20" max="20" width="20.7109375" customWidth="1"/>
    <col min="21" max="21" width="9.7109375" customWidth="1"/>
    <col min="22" max="22" width="21.7109375" customWidth="1"/>
    <col min="23" max="23" width="34.7109375" customWidth="1"/>
    <col min="24" max="24" width="41" customWidth="1"/>
    <col min="25" max="25" width="10.28515625" customWidth="1"/>
    <col min="26" max="26" width="13.5703125" customWidth="1"/>
    <col min="27" max="27" width="13.140625" customWidth="1"/>
    <col min="28" max="28" width="17.5703125" customWidth="1"/>
    <col min="29" max="29" width="12.5703125" customWidth="1"/>
    <col min="30" max="30" width="19.140625" customWidth="1"/>
    <col min="31" max="31" width="18.140625" customWidth="1"/>
    <col min="32" max="32" width="63" customWidth="1"/>
    <col min="33" max="33" width="26.42578125" customWidth="1"/>
  </cols>
  <sheetData>
    <row r="1" spans="1:33" ht="24.95" customHeight="1">
      <c r="A1" s="59" t="s">
        <v>42</v>
      </c>
      <c r="B1" s="59" t="s">
        <v>43</v>
      </c>
      <c r="C1" s="60" t="s">
        <v>16</v>
      </c>
      <c r="D1" s="60" t="s">
        <v>44</v>
      </c>
      <c r="E1" s="60" t="s">
        <v>45</v>
      </c>
      <c r="F1" s="60" t="s">
        <v>46</v>
      </c>
      <c r="G1" s="59" t="s">
        <v>47</v>
      </c>
      <c r="H1" s="59" t="s">
        <v>48</v>
      </c>
      <c r="I1" s="59" t="s">
        <v>17</v>
      </c>
      <c r="J1" s="59" t="s">
        <v>18</v>
      </c>
      <c r="K1" s="59" t="s">
        <v>19</v>
      </c>
      <c r="L1" s="59" t="s">
        <v>20</v>
      </c>
      <c r="M1" s="60" t="s">
        <v>49</v>
      </c>
      <c r="N1" s="60" t="s">
        <v>50</v>
      </c>
      <c r="O1" s="60" t="s">
        <v>51</v>
      </c>
      <c r="P1" s="60" t="s">
        <v>52</v>
      </c>
      <c r="Q1" s="59" t="s">
        <v>21</v>
      </c>
      <c r="R1" s="60" t="s">
        <v>22</v>
      </c>
      <c r="S1" s="60" t="s">
        <v>23</v>
      </c>
      <c r="T1" s="59" t="s">
        <v>53</v>
      </c>
      <c r="U1" s="59" t="s">
        <v>54</v>
      </c>
      <c r="V1" s="59" t="s">
        <v>55</v>
      </c>
      <c r="W1" s="59" t="s">
        <v>56</v>
      </c>
      <c r="X1" s="59" t="s">
        <v>57</v>
      </c>
      <c r="Y1" s="59" t="s">
        <v>58</v>
      </c>
      <c r="Z1" s="59" t="s">
        <v>59</v>
      </c>
      <c r="AA1" s="59" t="s">
        <v>60</v>
      </c>
      <c r="AB1" s="59" t="s">
        <v>61</v>
      </c>
      <c r="AC1" s="59" t="s">
        <v>62</v>
      </c>
      <c r="AD1" s="59" t="s">
        <v>63</v>
      </c>
      <c r="AE1" s="59" t="s">
        <v>64</v>
      </c>
      <c r="AF1" s="59" t="s">
        <v>65</v>
      </c>
      <c r="AG1" s="59" t="s">
        <v>66</v>
      </c>
    </row>
  </sheetData>
  <autoFilter ref="A1:AG111" xr:uid="{00000000-0009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B0887-4ECF-4FD4-9948-100171E07DB1}">
  <sheetPr>
    <tabColor rgb="FF00B050"/>
  </sheetPr>
  <dimension ref="A1:DB5"/>
  <sheetViews>
    <sheetView zoomScaleNormal="100" workbookViewId="0">
      <selection activeCell="A6" sqref="A6:XFD18"/>
    </sheetView>
  </sheetViews>
  <sheetFormatPr defaultRowHeight="16.5" customHeight="1"/>
  <cols>
    <col min="1" max="1" width="4.140625" customWidth="1"/>
    <col min="2" max="2" width="13.42578125" customWidth="1"/>
    <col min="3" max="3" width="35.140625" customWidth="1"/>
    <col min="4" max="4" width="9.42578125" customWidth="1"/>
    <col min="5" max="5" width="8.85546875" customWidth="1"/>
    <col min="6" max="6" width="32.42578125" customWidth="1"/>
    <col min="7" max="7" width="11.5703125" customWidth="1"/>
    <col min="8" max="8" width="18" customWidth="1"/>
    <col min="9" max="9" width="8.140625" customWidth="1"/>
    <col min="10" max="10" width="11" customWidth="1"/>
    <col min="12" max="12" width="13" customWidth="1"/>
    <col min="13" max="13" width="11.28515625" customWidth="1"/>
    <col min="14" max="14" width="21.42578125" customWidth="1"/>
    <col min="15" max="15" width="19.7109375" customWidth="1"/>
    <col min="16" max="16" width="27.42578125" customWidth="1"/>
    <col min="17" max="17" width="25.140625" customWidth="1"/>
    <col min="18" max="18" width="11" customWidth="1"/>
    <col min="19" max="19" width="21.7109375" customWidth="1"/>
    <col min="20" max="20" width="12.5703125" customWidth="1"/>
    <col min="21" max="21" width="31.140625" customWidth="1"/>
    <col min="22" max="22" width="16.42578125" customWidth="1"/>
    <col min="23" max="23" width="25.42578125" customWidth="1"/>
    <col min="24" max="24" width="8.42578125" customWidth="1"/>
    <col min="25" max="25" width="15.42578125" customWidth="1"/>
    <col min="26" max="26" width="14.85546875" customWidth="1"/>
    <col min="27" max="27" width="15.42578125" customWidth="1"/>
    <col min="28" max="28" width="16.85546875" customWidth="1"/>
    <col min="29" max="29" width="19.42578125" customWidth="1"/>
    <col min="30" max="30" width="24.5703125" customWidth="1"/>
    <col min="31" max="31" width="24" customWidth="1"/>
    <col min="32" max="32" width="27.7109375" customWidth="1"/>
    <col min="33" max="33" width="17.42578125" customWidth="1"/>
    <col min="34" max="34" width="18.28515625" customWidth="1"/>
    <col min="35" max="35" width="24" customWidth="1"/>
    <col min="36" max="36" width="16.28515625" customWidth="1"/>
    <col min="37" max="37" width="18" customWidth="1"/>
    <col min="38" max="38" width="27.42578125" customWidth="1"/>
    <col min="39" max="39" width="21.42578125" customWidth="1"/>
    <col min="40" max="40" width="15.28515625" customWidth="1"/>
    <col min="41" max="41" width="29" customWidth="1"/>
    <col min="42" max="42" width="22" customWidth="1"/>
    <col min="43" max="43" width="8.140625" customWidth="1"/>
    <col min="44" max="44" width="11" customWidth="1"/>
    <col min="45" max="45" width="14.42578125" customWidth="1"/>
    <col min="46" max="46" width="23.42578125" customWidth="1"/>
    <col min="47" max="47" width="23.140625" customWidth="1"/>
    <col min="48" max="48" width="17.42578125" customWidth="1"/>
    <col min="49" max="49" width="14.140625" customWidth="1"/>
    <col min="50" max="50" width="18.7109375" customWidth="1"/>
    <col min="51" max="51" width="23.42578125" customWidth="1"/>
    <col min="52" max="52" width="24.7109375" customWidth="1"/>
    <col min="53" max="55" width="12.5703125" customWidth="1"/>
    <col min="56" max="56" width="25.42578125" customWidth="1"/>
    <col min="57" max="57" width="22.42578125" customWidth="1"/>
    <col min="58" max="58" width="13.42578125" customWidth="1"/>
    <col min="59" max="59" width="15.140625" customWidth="1"/>
    <col min="60" max="60" width="13.42578125" customWidth="1"/>
    <col min="61" max="61" width="14.42578125" customWidth="1"/>
    <col min="62" max="62" width="15.42578125" customWidth="1"/>
    <col min="63" max="63" width="17.85546875" customWidth="1"/>
    <col min="64" max="64" width="12.5703125" customWidth="1"/>
    <col min="65" max="65" width="27.42578125" customWidth="1"/>
    <col min="66" max="66" width="24.42578125" customWidth="1"/>
    <col min="67" max="73" width="12.5703125" customWidth="1"/>
    <col min="74" max="74" width="27.42578125" customWidth="1"/>
    <col min="75" max="75" width="24.42578125" customWidth="1"/>
    <col min="76" max="87" width="12.5703125" customWidth="1"/>
    <col min="88" max="88" width="15.7109375" customWidth="1"/>
    <col min="89" max="95" width="12.5703125" customWidth="1"/>
    <col min="96" max="96" width="15.7109375" customWidth="1"/>
    <col min="97" max="97" width="17.7109375" customWidth="1"/>
    <col min="98" max="98" width="19.5703125" customWidth="1"/>
  </cols>
  <sheetData>
    <row r="1" spans="1:106" s="27" customFormat="1" ht="29.25" customHeight="1">
      <c r="A1" s="26" t="s">
        <v>67</v>
      </c>
    </row>
    <row r="2" spans="1:106" ht="6.75" customHeight="1"/>
    <row r="3" spans="1:106" s="31" customFormat="1" ht="15">
      <c r="A3" s="28" t="s">
        <v>68</v>
      </c>
      <c r="B3" s="29">
        <v>1</v>
      </c>
      <c r="C3" s="29">
        <v>2</v>
      </c>
      <c r="D3" s="29">
        <v>3</v>
      </c>
      <c r="E3" s="29">
        <v>4</v>
      </c>
      <c r="F3" s="29">
        <v>5</v>
      </c>
      <c r="G3" s="29">
        <v>6</v>
      </c>
      <c r="H3" s="29">
        <v>7</v>
      </c>
      <c r="I3" s="29">
        <v>8</v>
      </c>
      <c r="J3" s="29">
        <v>9</v>
      </c>
      <c r="K3" s="29">
        <v>10</v>
      </c>
      <c r="L3" s="29">
        <v>11</v>
      </c>
      <c r="M3" s="29">
        <v>12</v>
      </c>
      <c r="N3" s="29">
        <v>13</v>
      </c>
      <c r="O3" s="29">
        <v>14</v>
      </c>
      <c r="P3" s="29">
        <v>15</v>
      </c>
      <c r="Q3" s="29">
        <v>16</v>
      </c>
      <c r="R3" s="29">
        <v>17</v>
      </c>
      <c r="S3" s="29">
        <v>18</v>
      </c>
      <c r="T3" s="29">
        <v>19</v>
      </c>
      <c r="U3" s="29">
        <v>20</v>
      </c>
      <c r="V3" s="29">
        <v>21</v>
      </c>
      <c r="W3" s="29">
        <v>22</v>
      </c>
      <c r="X3" s="29">
        <v>23</v>
      </c>
      <c r="Y3" s="29">
        <v>24</v>
      </c>
      <c r="Z3" s="29">
        <v>25</v>
      </c>
      <c r="AA3" s="29">
        <v>26</v>
      </c>
      <c r="AB3" s="29">
        <v>27</v>
      </c>
      <c r="AC3" s="30">
        <v>28</v>
      </c>
      <c r="AD3" s="30">
        <v>29</v>
      </c>
      <c r="AE3" s="29">
        <v>30</v>
      </c>
      <c r="AF3" s="30">
        <v>31</v>
      </c>
      <c r="AG3" s="29">
        <v>32</v>
      </c>
      <c r="AH3" s="29">
        <v>33</v>
      </c>
      <c r="AI3" s="29">
        <v>34</v>
      </c>
      <c r="AJ3" s="29">
        <v>35</v>
      </c>
      <c r="AK3" s="29">
        <v>36</v>
      </c>
      <c r="AL3" s="29">
        <v>37</v>
      </c>
      <c r="AM3" s="29">
        <v>38</v>
      </c>
      <c r="AN3" s="29">
        <v>39</v>
      </c>
      <c r="AO3" s="29">
        <v>40</v>
      </c>
      <c r="AP3" s="29">
        <v>41</v>
      </c>
      <c r="AQ3" s="29">
        <v>42</v>
      </c>
      <c r="AR3" s="29">
        <v>43</v>
      </c>
      <c r="AS3" s="29">
        <v>44</v>
      </c>
      <c r="AT3" s="29">
        <v>45</v>
      </c>
      <c r="AU3" s="29">
        <v>46</v>
      </c>
      <c r="AV3" s="29">
        <v>47</v>
      </c>
      <c r="AW3" s="29">
        <v>48</v>
      </c>
      <c r="AX3" s="29">
        <v>49</v>
      </c>
      <c r="AY3" s="30">
        <v>50</v>
      </c>
      <c r="AZ3" s="30">
        <v>51</v>
      </c>
      <c r="BA3" s="29">
        <v>52</v>
      </c>
      <c r="BB3" s="29">
        <v>53</v>
      </c>
      <c r="BC3" s="29">
        <v>54</v>
      </c>
      <c r="BD3" s="29">
        <v>55</v>
      </c>
      <c r="BE3" s="29">
        <v>56</v>
      </c>
      <c r="BF3" s="29">
        <v>57</v>
      </c>
      <c r="BG3" s="29">
        <v>58</v>
      </c>
      <c r="BH3" s="29">
        <v>59</v>
      </c>
      <c r="BI3" s="29">
        <v>60</v>
      </c>
      <c r="BJ3" s="29">
        <v>61</v>
      </c>
      <c r="BK3" s="29">
        <v>62</v>
      </c>
      <c r="BL3" s="29">
        <v>63</v>
      </c>
      <c r="BM3" s="29">
        <v>64</v>
      </c>
      <c r="BN3" s="29">
        <v>65</v>
      </c>
      <c r="BO3" s="29">
        <v>66</v>
      </c>
      <c r="BP3" s="29">
        <v>67</v>
      </c>
      <c r="BQ3" s="29">
        <v>68</v>
      </c>
      <c r="BR3" s="29">
        <v>69</v>
      </c>
      <c r="BS3" s="29">
        <v>70</v>
      </c>
      <c r="BT3" s="29">
        <v>71</v>
      </c>
      <c r="BU3" s="29">
        <v>72</v>
      </c>
      <c r="BV3" s="29">
        <v>73</v>
      </c>
      <c r="BW3" s="29">
        <v>74</v>
      </c>
      <c r="BX3" s="29">
        <v>75</v>
      </c>
      <c r="BY3" s="29">
        <v>76</v>
      </c>
      <c r="BZ3" s="29">
        <v>77</v>
      </c>
      <c r="CA3" s="29">
        <v>78</v>
      </c>
      <c r="CB3" s="29">
        <v>79</v>
      </c>
      <c r="CC3" s="29">
        <v>80</v>
      </c>
      <c r="CD3" s="29">
        <v>81</v>
      </c>
      <c r="CE3" s="29">
        <v>82</v>
      </c>
      <c r="CF3" s="29">
        <v>83</v>
      </c>
      <c r="CG3" s="29">
        <v>84</v>
      </c>
      <c r="CH3" s="29">
        <v>85</v>
      </c>
      <c r="CI3" s="29">
        <v>86</v>
      </c>
      <c r="CJ3" s="29">
        <v>87</v>
      </c>
      <c r="CK3" s="29">
        <v>88</v>
      </c>
      <c r="CL3" s="29">
        <v>89</v>
      </c>
      <c r="CM3" s="29">
        <v>90</v>
      </c>
      <c r="CN3" s="29">
        <v>91</v>
      </c>
      <c r="CO3" s="29">
        <v>92</v>
      </c>
      <c r="CP3" s="29">
        <v>93</v>
      </c>
      <c r="CQ3" s="29">
        <v>94</v>
      </c>
      <c r="CR3" s="29">
        <v>95</v>
      </c>
      <c r="CS3" s="29">
        <v>96</v>
      </c>
      <c r="CT3" s="29">
        <v>97</v>
      </c>
      <c r="CU3" s="29">
        <v>98</v>
      </c>
    </row>
    <row r="4" spans="1:106" s="32" customFormat="1" ht="15" customHeight="1">
      <c r="N4" s="86" t="s">
        <v>69</v>
      </c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8"/>
      <c r="AH4" s="33" t="s">
        <v>70</v>
      </c>
      <c r="AI4" s="33"/>
      <c r="AJ4" s="33"/>
      <c r="AK4" s="34" t="s">
        <v>71</v>
      </c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6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7" t="s">
        <v>72</v>
      </c>
      <c r="CT4" s="38"/>
      <c r="CU4" s="38"/>
      <c r="CW4" s="89" t="s">
        <v>73</v>
      </c>
      <c r="CX4" s="89"/>
      <c r="CY4" s="89"/>
      <c r="CZ4" s="89"/>
      <c r="DA4" s="89"/>
      <c r="DB4" s="89"/>
    </row>
    <row r="5" spans="1:106" s="57" customFormat="1" ht="18.75" customHeight="1">
      <c r="A5" s="39"/>
      <c r="B5" s="40" t="s">
        <v>74</v>
      </c>
      <c r="C5" s="40" t="s">
        <v>25</v>
      </c>
      <c r="D5" s="40" t="s">
        <v>26</v>
      </c>
      <c r="E5" s="40" t="s">
        <v>75</v>
      </c>
      <c r="F5" s="40" t="s">
        <v>76</v>
      </c>
      <c r="G5" s="40" t="s">
        <v>77</v>
      </c>
      <c r="H5" s="40" t="s">
        <v>78</v>
      </c>
      <c r="I5" s="40" t="s">
        <v>79</v>
      </c>
      <c r="J5" s="40" t="s">
        <v>80</v>
      </c>
      <c r="K5" s="40" t="s">
        <v>81</v>
      </c>
      <c r="L5" s="40" t="s">
        <v>82</v>
      </c>
      <c r="M5" s="41" t="s">
        <v>83</v>
      </c>
      <c r="N5" s="42" t="s">
        <v>27</v>
      </c>
      <c r="O5" s="43" t="s">
        <v>84</v>
      </c>
      <c r="P5" s="43" t="s">
        <v>85</v>
      </c>
      <c r="Q5" s="43" t="s">
        <v>86</v>
      </c>
      <c r="R5" s="43" t="s">
        <v>87</v>
      </c>
      <c r="S5" s="43" t="s">
        <v>28</v>
      </c>
      <c r="T5" s="43" t="s">
        <v>88</v>
      </c>
      <c r="U5" s="44" t="s">
        <v>89</v>
      </c>
      <c r="V5" s="44" t="s">
        <v>90</v>
      </c>
      <c r="W5" s="44" t="s">
        <v>91</v>
      </c>
      <c r="X5" s="43" t="s">
        <v>92</v>
      </c>
      <c r="Y5" s="43" t="s">
        <v>93</v>
      </c>
      <c r="Z5" s="44" t="s">
        <v>94</v>
      </c>
      <c r="AA5" s="44" t="s">
        <v>29</v>
      </c>
      <c r="AB5" s="43" t="s">
        <v>95</v>
      </c>
      <c r="AC5" s="43" t="s">
        <v>30</v>
      </c>
      <c r="AD5" s="43" t="s">
        <v>31</v>
      </c>
      <c r="AE5" s="43" t="s">
        <v>96</v>
      </c>
      <c r="AF5" s="44" t="s">
        <v>97</v>
      </c>
      <c r="AG5" s="45" t="s">
        <v>98</v>
      </c>
      <c r="AH5" s="46" t="s">
        <v>99</v>
      </c>
      <c r="AI5" s="47" t="s">
        <v>100</v>
      </c>
      <c r="AJ5" s="48" t="s">
        <v>101</v>
      </c>
      <c r="AK5" s="42" t="s">
        <v>102</v>
      </c>
      <c r="AL5" s="43" t="s">
        <v>103</v>
      </c>
      <c r="AM5" s="43" t="s">
        <v>104</v>
      </c>
      <c r="AN5" s="43" t="s">
        <v>105</v>
      </c>
      <c r="AO5" s="43" t="s">
        <v>106</v>
      </c>
      <c r="AP5" s="49" t="s">
        <v>107</v>
      </c>
      <c r="AQ5" s="49" t="s">
        <v>108</v>
      </c>
      <c r="AR5" s="49" t="s">
        <v>109</v>
      </c>
      <c r="AS5" s="44" t="s">
        <v>110</v>
      </c>
      <c r="AT5" s="44" t="s">
        <v>111</v>
      </c>
      <c r="AU5" s="44" t="s">
        <v>112</v>
      </c>
      <c r="AV5" s="43" t="s">
        <v>113</v>
      </c>
      <c r="AW5" s="43" t="s">
        <v>114</v>
      </c>
      <c r="AX5" s="44" t="s">
        <v>115</v>
      </c>
      <c r="AY5" s="44" t="s">
        <v>116</v>
      </c>
      <c r="AZ5" s="44" t="s">
        <v>117</v>
      </c>
      <c r="BA5" s="45" t="s">
        <v>118</v>
      </c>
      <c r="BB5" s="50" t="s">
        <v>32</v>
      </c>
      <c r="BC5" s="50" t="s">
        <v>119</v>
      </c>
      <c r="BD5" s="51" t="s">
        <v>33</v>
      </c>
      <c r="BE5" s="51" t="s">
        <v>120</v>
      </c>
      <c r="BF5" s="50" t="s">
        <v>121</v>
      </c>
      <c r="BG5" s="52" t="s">
        <v>122</v>
      </c>
      <c r="BH5" s="50" t="s">
        <v>123</v>
      </c>
      <c r="BI5" s="50" t="s">
        <v>34</v>
      </c>
      <c r="BJ5" s="50" t="s">
        <v>124</v>
      </c>
      <c r="BK5" s="53" t="s">
        <v>36</v>
      </c>
      <c r="BL5" s="53" t="s">
        <v>125</v>
      </c>
      <c r="BM5" s="53" t="s">
        <v>37</v>
      </c>
      <c r="BN5" s="53" t="s">
        <v>126</v>
      </c>
      <c r="BO5" s="53" t="s">
        <v>127</v>
      </c>
      <c r="BP5" s="53" t="s">
        <v>128</v>
      </c>
      <c r="BQ5" s="53" t="s">
        <v>129</v>
      </c>
      <c r="BR5" s="53" t="s">
        <v>130</v>
      </c>
      <c r="BS5" s="53" t="s">
        <v>39</v>
      </c>
      <c r="BT5" s="50" t="s">
        <v>131</v>
      </c>
      <c r="BU5" s="50" t="s">
        <v>132</v>
      </c>
      <c r="BV5" s="50" t="s">
        <v>133</v>
      </c>
      <c r="BW5" s="50" t="s">
        <v>134</v>
      </c>
      <c r="BX5" s="50" t="s">
        <v>135</v>
      </c>
      <c r="BY5" s="50" t="s">
        <v>136</v>
      </c>
      <c r="BZ5" s="50" t="s">
        <v>137</v>
      </c>
      <c r="CA5" s="50" t="s">
        <v>138</v>
      </c>
      <c r="CB5" s="50" t="s">
        <v>139</v>
      </c>
      <c r="CC5" s="53" t="s">
        <v>140</v>
      </c>
      <c r="CD5" s="53" t="s">
        <v>141</v>
      </c>
      <c r="CE5" s="53" t="s">
        <v>142</v>
      </c>
      <c r="CF5" s="53" t="s">
        <v>143</v>
      </c>
      <c r="CG5" s="53" t="s">
        <v>144</v>
      </c>
      <c r="CH5" s="53" t="s">
        <v>145</v>
      </c>
      <c r="CI5" s="53" t="s">
        <v>146</v>
      </c>
      <c r="CJ5" s="53" t="s">
        <v>147</v>
      </c>
      <c r="CK5" s="54" t="s">
        <v>148</v>
      </c>
      <c r="CL5" s="54" t="s">
        <v>149</v>
      </c>
      <c r="CM5" s="54" t="s">
        <v>150</v>
      </c>
      <c r="CN5" s="54" t="s">
        <v>151</v>
      </c>
      <c r="CO5" s="54" t="s">
        <v>152</v>
      </c>
      <c r="CP5" s="54" t="s">
        <v>153</v>
      </c>
      <c r="CQ5" s="54" t="s">
        <v>154</v>
      </c>
      <c r="CR5" s="54" t="s">
        <v>155</v>
      </c>
      <c r="CS5" s="55" t="s">
        <v>156</v>
      </c>
      <c r="CT5" s="56" t="s">
        <v>157</v>
      </c>
      <c r="CU5" s="56" t="s">
        <v>41</v>
      </c>
      <c r="CW5" s="58" t="s">
        <v>158</v>
      </c>
      <c r="CX5" s="58" t="s">
        <v>159</v>
      </c>
      <c r="CY5" s="58" t="s">
        <v>160</v>
      </c>
      <c r="CZ5" s="58" t="s">
        <v>161</v>
      </c>
      <c r="DA5" s="58" t="s">
        <v>162</v>
      </c>
      <c r="DB5" s="58" t="s">
        <v>163</v>
      </c>
    </row>
  </sheetData>
  <autoFilter ref="A3:CU5" xr:uid="{00000000-0009-0000-0000-000000000000}"/>
  <mergeCells count="2">
    <mergeCell ref="N4:AG4"/>
    <mergeCell ref="CW4:DB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F66A14B1547C4C9D7BAD680DA88C61" ma:contentTypeVersion="15" ma:contentTypeDescription="Create a new document." ma:contentTypeScope="" ma:versionID="002aa387ec480ae932de6dc40f75283b">
  <xsd:schema xmlns:xsd="http://www.w3.org/2001/XMLSchema" xmlns:xs="http://www.w3.org/2001/XMLSchema" xmlns:p="http://schemas.microsoft.com/office/2006/metadata/properties" xmlns:ns1="http://schemas.microsoft.com/sharepoint/v3" xmlns:ns2="8bd2d439-aea9-4035-b4e9-8ef80bf90cb6" xmlns:ns3="a692c345-fe85-4329-9b32-d42bd9ce568f" targetNamespace="http://schemas.microsoft.com/office/2006/metadata/properties" ma:root="true" ma:fieldsID="d9230dd1b22e970ac78e7c979b83a161" ns1:_="" ns2:_="" ns3:_="">
    <xsd:import namespace="http://schemas.microsoft.com/sharepoint/v3"/>
    <xsd:import namespace="8bd2d439-aea9-4035-b4e9-8ef80bf90cb6"/>
    <xsd:import namespace="a692c345-fe85-4329-9b32-d42bd9ce56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2d439-aea9-4035-b4e9-8ef80bf90c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853732c-949f-4082-84fe-91e9736609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ags" ma:index="22" nillable="true" ma:displayName="Tags" ma:format="Dropdown" ma:internalName="Tags">
      <xsd:simpleType>
        <xsd:union memberTypes="dms:Text">
          <xsd:simpleType>
            <xsd:restriction base="dms:Choice">
              <xsd:enumeration value="Downstream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92c345-fe85-4329-9b32-d42bd9ce568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934b41b-324e-4ea5-8868-37e3e72937ab}" ma:internalName="TaxCatchAll" ma:showField="CatchAllData" ma:web="a692c345-fe85-4329-9b32-d42bd9ce56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92c345-fe85-4329-9b32-d42bd9ce568f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8bd2d439-aea9-4035-b4e9-8ef80bf90cb6">
      <Terms xmlns="http://schemas.microsoft.com/office/infopath/2007/PartnerControls"/>
    </lcf76f155ced4ddcb4097134ff3c332f>
    <Tags xmlns="8bd2d439-aea9-4035-b4e9-8ef80bf90cb6" xsi:nil="true"/>
  </documentManagement>
</p:properties>
</file>

<file path=customXml/itemProps1.xml><?xml version="1.0" encoding="utf-8"?>
<ds:datastoreItem xmlns:ds="http://schemas.openxmlformats.org/officeDocument/2006/customXml" ds:itemID="{1CEA9648-8367-47DC-ADE8-4476C3E63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bd2d439-aea9-4035-b4e9-8ef80bf90cb6"/>
    <ds:schemaRef ds:uri="a692c345-fe85-4329-9b32-d42bd9ce56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CCEDE5-69F5-4261-9C3E-4530177D98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837ADB-92C0-45FC-8A3D-6A37CAE6A84A}">
  <ds:schemaRefs>
    <ds:schemaRef ds:uri="http://schemas.microsoft.com/office/2006/metadata/properties"/>
    <ds:schemaRef ds:uri="http://schemas.microsoft.com/office/infopath/2007/PartnerControls"/>
    <ds:schemaRef ds:uri="a692c345-fe85-4329-9b32-d42bd9ce568f"/>
    <ds:schemaRef ds:uri="http://schemas.microsoft.com/sharepoint/v3"/>
    <ds:schemaRef ds:uri="8bd2d439-aea9-4035-b4e9-8ef80bf90c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DS_PTX Summary Test Results</vt:lpstr>
      <vt:lpstr>DS_PTX_Reconcile</vt:lpstr>
      <vt:lpstr>DS_PTX</vt:lpstr>
      <vt:lpstr>Test Data</vt:lpstr>
      <vt:lpstr>DS_PTX!_FilterDatabase</vt:lpstr>
      <vt:lpstr>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2026-05-10T18:11:47Z</dcterms:created>
  <dcterms:modified xsi:type="dcterms:W3CDTF">2026-08-18T03:02:37Z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0x010100C8F66A14B1547C4C9D7BAD680DA88C61</vt:lpwstr>
  </property>
  <property fmtid="{D5CDD505-2E9C-101B-9397-08002B2CF9AE}" pid="3" name="MediaServiceImageTags">
    <vt:lpwstr/>
  </property>
</Properties>
</file>